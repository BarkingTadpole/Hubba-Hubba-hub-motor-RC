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a39abe6b2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da1225cbda42425b"/>
    <x:sheet xmlns:r="http://schemas.openxmlformats.org/officeDocument/2006/relationships" name="Current Sizing" sheetId="2" r:id="R721faf257c4c4af6"/>
    <x:sheet xmlns:r="http://schemas.openxmlformats.org/officeDocument/2006/relationships" name="Architecture" sheetId="3" r:id="Ra85ace7a9b7a4bb4"/>
    <x:sheet xmlns:r="http://schemas.openxmlformats.org/officeDocument/2006/relationships" name="Release Gates" sheetId="4" r:id="Rab6c445e425a4bca"/>
    <x:sheet xmlns:r="http://schemas.openxmlformats.org/officeDocument/2006/relationships" name="System Items" sheetId="5" r:id="R25a9714f5f70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.000000"/>
    <x:numFmt numFmtId="202" formatCode="0.00000"/>
    <x:numFmt numFmtId="203" formatCode="0.0000"/>
    <x:numFmt numFmtId="204" formatCode="0.0%"/>
    <x:numFmt numFmtId="205" formatCode="0.0"/>
    <x:numFmt numFmtId="206" formatCode="0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2372A"/>
      <x:name val="Carlito"/>
    </x:font>
    <x:font>
      <x:b/>
      <x:sz val="11"/>
      <x:color rgb="FFFFFFFF"/>
      <x:name val="Carlito"/>
    </x:font>
    <x:font>
      <x:b/>
      <x:sz val="11"/>
      <x:color rgb="FF12372A"/>
      <x:name val="Carlito"/>
    </x:font>
    <x:font>
      <x:b/>
      <x:sz val="20"/>
      <x:color rgb="FFFFFFFF"/>
      <x:name val="Aptos"/>
    </x:font>
    <x:font>
      <x:i/>
      <x:sz val="11"/>
      <x:color rgb="FF12372A"/>
      <x:name val="Aptos"/>
    </x:font>
    <x:font>
      <x:b/>
      <x:sz val="11"/>
      <x:color rgb="FF12372A"/>
      <x:name val="Aptos"/>
    </x:font>
    <x:font>
      <x:sz val="11"/>
      <x:name val="Aptos"/>
    </x:font>
    <x:font>
      <x:b/>
      <x:sz val="11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D8F3DC"/>
      </x:patternFill>
    </x:fill>
    <x:fill>
      <x:patternFill patternType="solid">
        <x:fgColor rgb="FF2D6A4F"/>
      </x:patternFill>
    </x:fill>
    <x:fill>
      <x:patternFill patternType="solid">
        <x:fgColor rgb="FFF3F4F6"/>
      </x:patternFill>
    </x:fill>
    <x:fill>
      <x:patternFill patternType="solid">
        <x:fgColor rgb="FFD4A01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0" borderId="1" xfId="0" applyNumberFormat="1" applyFont="1" applyFill="1" applyBorder="1"/>
    <x:xf numFmtId="205" fontId="0" fillId="0" borderId="1" xfId="0" applyNumberFormat="1" applyFont="1" applyFill="1" applyBorder="1"/>
    <x:xf numFmtId="206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206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/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top" wrapText="1"/>
    </x:xf>
    <x:xf numFmtId="206" fontId="8" fillId="0" borderId="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200" fontId="8" fillId="0" borderId="0" xfId="0" applyNumberFormat="1" applyFont="1" applyFill="1" applyBorder="1"/>
    <x:xf numFmtId="205" fontId="8" fillId="0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0" fontId="9" fillId="6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12372A"/>
      </x:font>
      <x:fill>
        <x:patternFill patternType="solid">
          <x:bgColor rgb="FFD8F3DC"/>
        </x:patternFill>
      </x:fill>
    </x:dxf>
    <x:dxf>
      <x:font>
        <x:b/>
        <x:color rgb="FF7A4E00"/>
      </x:font>
      <x:fill>
        <x:patternFill patternType="solid">
          <x:bgColor rgb="FFFFF4CE"/>
        </x:patternFill>
      </x:fill>
    </x:dxf>
    <x:dxf>
      <x:font>
        <x:b/>
        <x:color rgb="FF8B1E1E"/>
      </x:font>
      <x:fill>
        <x:patternFill patternType="solid">
          <x:bgColor rgb="FFFCE8E6"/>
        </x:patternFill>
      </x:fill>
    </x:dxf>
    <x:dxf>
      <x:font>
        <x:b/>
        <x:color rgb="FF8B1E1E"/>
      </x:font>
      <x:fill>
        <x:patternFill patternType="solid">
          <x:bgColor rgb="FFFCE8E6"/>
        </x:patternFill>
      </x:fill>
    </x:dxf>
    <x:dxf>
      <x:font>
        <x:b/>
        <x:color rgb="FF12372A"/>
      </x:font>
      <x:fill>
        <x:patternFill patternType="solid">
          <x:bgColor rgb="FFD8F3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3c48de8de4657" /><Relationship Type="http://schemas.openxmlformats.org/officeDocument/2006/relationships/theme" Target="/xl/theme/theme1.xml" Id="Reb810083b0c84e65" /><Relationship Type="http://schemas.openxmlformats.org/officeDocument/2006/relationships/sharedStrings" Target="/xl/sharedStrings.xml" Id="R42b2cde6e0d54e18" /><Relationship Type="http://schemas.openxmlformats.org/officeDocument/2006/relationships/worksheet" Target="/xl/worksheets/sheet1.xml" Id="Rda1225cbda42425b" /><Relationship Type="http://schemas.openxmlformats.org/officeDocument/2006/relationships/worksheet" Target="/xl/worksheets/sheet2.xml" Id="R721faf257c4c4af6" /><Relationship Type="http://schemas.openxmlformats.org/officeDocument/2006/relationships/worksheet" Target="/xl/worksheets/sheet3.xml" Id="Ra85ace7a9b7a4bb4" /><Relationship Type="http://schemas.openxmlformats.org/officeDocument/2006/relationships/worksheet" Target="/xl/worksheets/sheet4.xml" Id="Rab6c445e425a4bca" /><Relationship Type="http://schemas.openxmlformats.org/officeDocument/2006/relationships/worksheet" Target="/xl/worksheets/sheet5.xml" Id="R25a9714f5f704e9b" /></Relationships>
</file>

<file path=xl/tables/table1.xml><?xml version="1.0" encoding="utf-8"?>
<x:table xmlns:x="http://schemas.openxmlformats.org/spreadsheetml/2006/main" id="1" name="VCU_BOM" displayName="VCU_BOM" ref="A5:S88" headerRowCount="1" totalsRowCount="0" totalsRowShown="0">
  <x:tableColumns count="19">
    <x:tableColumn id="1" name="Line"/>
    <x:tableColumn id="2" name="Status"/>
    <x:tableColumn id="3" name="Section"/>
    <x:tableColumn id="4" name="Function"/>
    <x:tableColumn id="5" name="Manufacturer"/>
    <x:tableColumn id="6" name="Manufacturer part number"/>
    <x:tableColumn id="7" name="LCSC #"/>
    <x:tableColumn id="8" name="Package"/>
    <x:tableColumn id="9" name="Central qty"/>
    <x:tableColumn id="10" name="Qty / motor node"/>
    <x:tableColumn id="11" name="Motor nodes"/>
    <x:tableColumn id="12" name="Fitted total"/>
    <x:tableColumn id="13" name="DNP / optional qty"/>
    <x:tableColumn id="14" name="Key rating / value"/>
    <x:tableColumn id="15" name="Stock snapshot 2026-09-03"/>
    <x:tableColumn id="16" name="Assembly"/>
    <x:tableColumn id="17" name="Validation / substitution note"/>
    <x:tableColumn id="18" name="LCSC URL"/>
    <x:tableColumn id="19" name="Data 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ease_Gates" displayName="Release_Gates" ref="A4:E23" headerRowCount="1" totalsRowCount="0" totalsRowShown="0">
  <x:tableColumns count="5">
    <x:tableColumn id="1" name="Gate"/>
    <x:tableColumn id="2" name="Domain"/>
    <x:tableColumn id="3" name="Acceptance criterion"/>
    <x:tableColumn id="4" name="Status"/>
    <x:tableColumn id="5" name="Required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stem_Items" displayName="System_Items" ref="A4:E24" headerRowCount="1" totalsRowCount="0" totalsRowShown="0">
  <x:tableColumns count="5">
    <x:tableColumn id="1" name="Item"/>
    <x:tableColumn id="2" name="Need"/>
    <x:tableColumn id="3" name="Requirement"/>
    <x:tableColumn id="4" name="Selection statu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16e57233c849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492509aa36a48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bad1df940a247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9" hidden="0" customWidth="1"/>
    <x:col min="3" max="3" width="18" hidden="0" customWidth="1"/>
    <x:col min="4" max="4" width="31" hidden="0" customWidth="1"/>
    <x:col min="5" max="5" width="22" hidden="0" customWidth="1"/>
    <x:col min="6" max="6" width="31" hidden="0" customWidth="1"/>
    <x:col min="7" max="7" width="13" hidden="0" customWidth="1"/>
    <x:col min="8" max="8" width="18" hidden="0" customWidth="1"/>
    <x:col min="9" max="9" width="11" hidden="0" customWidth="1"/>
    <x:col min="10" max="10" width="12" hidden="0" customWidth="1"/>
    <x:col min="11" max="11" width="11" hidden="0" customWidth="1"/>
    <x:col min="12" max="12" width="12" hidden="0" customWidth="1"/>
    <x:col min="13" max="13" width="14" hidden="0" customWidth="1"/>
    <x:col min="14" max="14" width="31" hidden="0" customWidth="1"/>
    <x:col min="15" max="15" width="23" hidden="0" customWidth="1"/>
    <x:col min="16" max="16" width="16" hidden="0" customWidth="1"/>
    <x:col min="17" max="17" width="57" hidden="0" customWidth="1"/>
    <x:col min="18" max="18" width="38" hidden="0" customWidth="1"/>
    <x:col min="19" max="19" width="45" hidden="0" customWidth="1"/>
  </x:cols>
  <x:sheetData>
    <x:row r="1" ht="24" hidden="0" customHeight="1">
      <x:c r="A1" s="34" t="str">
        <x:v>Hubba Hubba VCU — LCSC Planning BOM</x:v>
      </x:c>
      <x:c r="B1" s="34" t="str">
        <x:v>Hubba Hubba VCU — LCSC Planning BOM</x:v>
      </x:c>
      <x:c r="C1" s="34" t="str">
        <x:v>Hubba Hubba VCU — LCSC Planning BOM</x:v>
      </x:c>
      <x:c r="D1" s="34" t="str">
        <x:v>Hubba Hubba VCU — LCSC Planning BOM</x:v>
      </x:c>
      <x:c r="E1" s="34" t="str">
        <x:v>Hubba Hubba VCU — LCSC Planning BOM</x:v>
      </x:c>
      <x:c r="F1" s="34" t="str">
        <x:v>Hubba Hubba VCU — LCSC Planning BOM</x:v>
      </x:c>
      <x:c r="G1" s="34" t="str">
        <x:v>Hubba Hubba VCU — LCSC Planning BOM</x:v>
      </x:c>
      <x:c r="H1" s="34" t="str">
        <x:v>Hubba Hubba VCU — LCSC Planning BOM</x:v>
      </x:c>
      <x:c r="I1" s="34" t="str">
        <x:v>Hubba Hubba VCU — LCSC Planning BOM</x:v>
      </x:c>
      <x:c r="J1" s="34" t="str">
        <x:v>Hubba Hubba VCU — LCSC Planning BOM</x:v>
      </x:c>
      <x:c r="K1" s="34" t="str">
        <x:v>Hubba Hubba VCU — LCSC Planning BOM</x:v>
      </x:c>
      <x:c r="L1" s="34" t="str">
        <x:v>Hubba Hubba VCU — LCSC Planning BOM</x:v>
      </x:c>
      <x:c r="M1" s="34" t="str">
        <x:v>Hubba Hubba VCU — LCSC Planning BOM</x:v>
      </x:c>
      <x:c r="N1" s="34" t="str">
        <x:v>Hubba Hubba VCU — LCSC Planning BOM</x:v>
      </x:c>
      <x:c r="O1" s="34" t="str">
        <x:v>Hubba Hubba VCU — LCSC Planning BOM</x:v>
      </x:c>
      <x:c r="P1" s="34" t="str">
        <x:v>Hubba Hubba VCU — LCSC Planning BOM</x:v>
      </x:c>
      <x:c r="Q1" s="34" t="str">
        <x:v>Hubba Hubba VCU — LCSC Planning BOM</x:v>
      </x:c>
      <x:c r="R1" s="34" t="str">
        <x:v>Hubba Hubba VCU — LCSC Planning BOM</x:v>
      </x:c>
      <x:c r="S1" s="34" t="str">
        <x:v>Hubba Hubba VCU — LCSC Planning BOM</x:v>
      </x:c>
    </x:row>
    <x:row r="2" ht="15" hidden="0" customHeight="1">
      <x:c r="A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B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C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D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E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F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G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H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I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J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K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L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M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N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O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P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Q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R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  <x:c r="S2" s="35" t="str">
        <x:v>Research baseline 2026-09-03 for the 3S–6S, four-node programmable STSPIN32G4 architecture. Stock is a dated snapshot. Schematic-dependent passives, DNP options, EasyEDA footprints, firmware provisioning and JLCPCB assembly eligibility remain release gates.</x:v>
      </x:c>
    </x:row>
    <x:row r="3" ht="15" hidden="0" customHeight="1">
      <x:c r="A3" s="36" t="str">
        <x:v>Line items</x:v>
      </x:c>
      <x:c r="B3" s="36" t="n">
        <x:f>COUNTA(A6:A88)</x:f>
        <x:v>83</x:v>
      </x:c>
      <x:c r="C3" s="36" t="str">
        <x:v>Selected</x:v>
      </x:c>
      <x:c r="D3" s="36" t="n">
        <x:f>COUNTIF(B6:B88,"Selected")</x:f>
        <x:v>58</x:v>
      </x:c>
      <x:c r="E3" s="36" t="str">
        <x:v>Provisional</x:v>
      </x:c>
      <x:c r="F3" s="36" t="n">
        <x:f>COUNTIF(B6:B88,"Provisional")</x:f>
        <x:v>21</x:v>
      </x:c>
      <x:c r="G3" s="36" t="str">
        <x:v>Calculated fitted units</x:v>
      </x:c>
      <x:c r="H3" s="36" t="n">
        <x:f>SUM(L6:L88)</x:f>
        <x:v>517</x:v>
      </x:c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</x:row>
    <x:row r="4" ht="15" hidden="0" customHeight="1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</x:row>
    <x:row r="5" ht="26.399999618530273" hidden="0" customHeight="1">
      <x:c r="A5" s="38" t="str">
        <x:v>Line</x:v>
      </x:c>
      <x:c r="B5" s="38" t="str">
        <x:v>Status</x:v>
      </x:c>
      <x:c r="C5" s="38" t="str">
        <x:v>Section</x:v>
      </x:c>
      <x:c r="D5" s="38" t="str">
        <x:v>Function</x:v>
      </x:c>
      <x:c r="E5" s="38" t="str">
        <x:v>Manufacturer</x:v>
      </x:c>
      <x:c r="F5" s="38" t="str">
        <x:v>Manufacturer part number</x:v>
      </x:c>
      <x:c r="G5" s="38" t="str">
        <x:v>LCSC #</x:v>
      </x:c>
      <x:c r="H5" s="38" t="str">
        <x:v>Package</x:v>
      </x:c>
      <x:c r="I5" s="38" t="str">
        <x:v>Central qty</x:v>
      </x:c>
      <x:c r="J5" s="38" t="str">
        <x:v>Qty / motor node</x:v>
      </x:c>
      <x:c r="K5" s="38" t="str">
        <x:v>Motor nodes</x:v>
      </x:c>
      <x:c r="L5" s="38" t="str">
        <x:v>Fitted total</x:v>
      </x:c>
      <x:c r="M5" s="38" t="str">
        <x:v>DNP / optional qty</x:v>
      </x:c>
      <x:c r="N5" s="38" t="str">
        <x:v>Key rating / value</x:v>
      </x:c>
      <x:c r="O5" s="38" t="str">
        <x:v>Stock snapshot 2026-09-03</x:v>
      </x:c>
      <x:c r="P5" s="38" t="str">
        <x:v>Assembly</x:v>
      </x:c>
      <x:c r="Q5" s="38" t="str">
        <x:v>Validation / substitution note</x:v>
      </x:c>
      <x:c r="R5" s="38" t="str">
        <x:v>LCSC URL</x:v>
      </x:c>
      <x:c r="S5" s="38" t="str">
        <x:v>Data sheet</x:v>
      </x:c>
    </x:row>
    <x:row r="6" ht="39.599998474121094" hidden="0" customHeight="1">
      <x:c r="A6" s="39" t="n">
        <x:v>1</x:v>
      </x:c>
      <x:c r="B6" s="39" t="str">
        <x:v>Selected</x:v>
      </x:c>
      <x:c r="C6" s="39" t="str">
        <x:v>Supervisor</x:v>
      </x:c>
      <x:c r="D6" s="39" t="str">
        <x:v>Vehicle supervisor</x:v>
      </x:c>
      <x:c r="E6" s="39" t="str">
        <x:v>Espressif</x:v>
      </x:c>
      <x:c r="F6" s="39" t="str">
        <x:v>ESP32-S3-WROOM-1U-N16R8</x:v>
      </x:c>
      <x:c r="G6" s="39" t="str">
        <x:v>C3013946</x:v>
      </x:c>
      <x:c r="H6" s="39" t="str">
        <x:v>Module</x:v>
      </x:c>
      <x:c r="I6" s="40" t="n">
        <x:v>1</x:v>
      </x:c>
      <x:c r="J6" s="40" t="n">
        <x:v>0</x:v>
      </x:c>
      <x:c r="K6" s="40" t="n">
        <x:f>'Current Sizing'!$B$10</x:f>
        <x:v>4</x:v>
      </x:c>
      <x:c r="L6" s="40" t="n">
        <x:f>I6+(J6*K6)</x:f>
        <x:v>1</x:v>
      </x:c>
      <x:c r="M6" s="40" t="n">
        <x:v>0</x:v>
      </x:c>
      <x:c r="N6" s="39" t="str">
        <x:v>16 MB flash, 8 MB octal PSRAM; −40…+65 °C normal ambient</x:v>
      </x:c>
      <x:c r="O6" s="39" t="str">
        <x:v>Listed; recheck</x:v>
      </x:c>
      <x:c r="P6" s="39" t="str">
        <x:v>SMT</x:v>
      </x:c>
      <x:c r="Q6" s="39" t="str">
        <x:v>GPIO35–37 unavailable; external Wi-Fi antenna; keep the RF/supervisor zone within +65 °C unless PSRAM ECC and its 1/16 capacity reduction are explicitly qualified for +85 °C</x:v>
      </x:c>
      <x:c r="R6" s="39" t="str">
        <x:v>https://www.lcsc.com/product-detail/C3013946.html</x:v>
      </x:c>
      <x:c r="S6" s="39" t="str">
        <x:v>https://www.espressif.com/sites/default/files/documentation/esp32-s3-wroom-1_wroom-1u_datasheet_en.pdf</x:v>
      </x:c>
    </x:row>
    <x:row r="7" ht="26.399999618530273" hidden="0" customHeight="1">
      <x:c r="A7" s="39" t="n">
        <x:v>2</x:v>
      </x:c>
      <x:c r="B7" s="39" t="str">
        <x:v>Selected</x:v>
      </x:c>
      <x:c r="C7" s="39" t="str">
        <x:v>Supervisor</x:v>
      </x:c>
      <x:c r="D7" s="39" t="str">
        <x:v>GNSS receiver</x:v>
      </x:c>
      <x:c r="E7" s="39" t="str">
        <x:v>u-blox</x:v>
      </x:c>
      <x:c r="F7" s="39" t="str">
        <x:v>MAX-M10S-00B</x:v>
      </x:c>
      <x:c r="G7" s="39" t="str">
        <x:v>C4153167</x:v>
      </x:c>
      <x:c r="H7" s="39" t="str">
        <x:v>LGA-24</x:v>
      </x:c>
      <x:c r="I7" s="40" t="n">
        <x:v>1</x:v>
      </x:c>
      <x:c r="J7" s="40" t="n">
        <x:v>0</x:v>
      </x:c>
      <x:c r="K7" s="40" t="n">
        <x:f>'Current Sizing'!$B$10</x:f>
        <x:v>4</x:v>
      </x:c>
      <x:c r="L7" s="40" t="n">
        <x:f>I7+(J7*K7)</x:f>
        <x:v>1</x:v>
      </x:c>
      <x:c r="M7" s="40" t="n">
        <x:v>0</x:v>
      </x:c>
      <x:c r="N7" s="39" t="str">
        <x:v>Concurrent GNSS, UART, 1.65–3.6 V</x:v>
      </x:c>
      <x:c r="O7" s="39" t="str">
        <x:v>Listed; recheck</x:v>
      </x:c>
      <x:c r="P7" s="39" t="str">
        <x:v>SMT</x:v>
      </x:c>
      <x:c r="Q7" s="39" t="str">
        <x:v>TIMEPULSE routed to GPIO16; keep input high-Z/no-pull during GNSS startup</x:v>
      </x:c>
      <x:c r="R7" s="39" t="str">
        <x:v>https://www.lcsc.com/product-detail/C4153167.html</x:v>
      </x:c>
      <x:c r="S7" s="39" t="str">
        <x:v>https://content.u-blox.com/sites/default/files/MAX-M10S_DataSheet_UBX-20035208.pdf</x:v>
      </x:c>
    </x:row>
    <x:row r="8" ht="26.399999618530273" hidden="0" customHeight="1">
      <x:c r="A8" s="39" t="n">
        <x:v>3</x:v>
      </x:c>
      <x:c r="B8" s="39" t="str">
        <x:v>Selected</x:v>
      </x:c>
      <x:c r="C8" s="39" t="str">
        <x:v>Supervisor</x:v>
      </x:c>
      <x:c r="D8" s="39" t="str">
        <x:v>Automotive 6-axis IMU</x:v>
      </x:c>
      <x:c r="E8" s="39" t="str">
        <x:v>STMicroelectronics</x:v>
      </x:c>
      <x:c r="F8" s="39" t="str">
        <x:v>ASM330LHHTR</x:v>
      </x:c>
      <x:c r="G8" s="39" t="str">
        <x:v>C459826</x:v>
      </x:c>
      <x:c r="H8" s="39" t="str">
        <x:v>LGA-14</x:v>
      </x:c>
      <x:c r="I8" s="40" t="n">
        <x:v>1</x:v>
      </x:c>
      <x:c r="J8" s="40" t="n">
        <x:v>0</x:v>
      </x:c>
      <x:c r="K8" s="40" t="n">
        <x:f>'Current Sizing'!$B$10</x:f>
        <x:v>4</x:v>
      </x:c>
      <x:c r="L8" s="40" t="n">
        <x:f>I8+(J8*K8)</x:f>
        <x:v>1</x:v>
      </x:c>
      <x:c r="M8" s="40" t="n">
        <x:v>0</x:v>
      </x:c>
      <x:c r="N8" s="39" t="str">
        <x:v>±16 g, ±2000 dps capable, SPI</x:v>
      </x:c>
      <x:c r="O8" s="39" t="str">
        <x:v>Listed; recheck</x:v>
      </x:c>
      <x:c r="P8" s="39" t="str">
        <x:v>SMT</x:v>
      </x:c>
      <x:c r="Q8" s="39" t="str">
        <x:v>Shared SPI; validate vibration and mounting axes</x:v>
      </x:c>
      <x:c r="R8" s="39" t="str">
        <x:v>https://www.lcsc.com/product-detail/C459826.html</x:v>
      </x:c>
      <x:c r="S8" s="39" t="str">
        <x:v>https://www.st.com/resource/en/datasheet/asm330lhh.pdf</x:v>
      </x:c>
    </x:row>
    <x:row r="9" ht="26.399999618530273" hidden="0" customHeight="1">
      <x:c r="A9" s="39" t="n">
        <x:v>4</x:v>
      </x:c>
      <x:c r="B9" s="39" t="str">
        <x:v>Selected</x:v>
      </x:c>
      <x:c r="C9" s="39" t="str">
        <x:v>Storage</x:v>
      </x:c>
      <x:c r="D9" s="39" t="str">
        <x:v>microSD socket</x:v>
      </x:c>
      <x:c r="E9" s="39" t="str">
        <x:v>Molex</x:v>
      </x:c>
      <x:c r="F9" s="39" t="str">
        <x:v>475710001</x:v>
      </x:c>
      <x:c r="G9" s="39" t="str">
        <x:v>C19807215</x:v>
      </x:c>
      <x:c r="H9" s="39" t="str">
        <x:v>Push-push SMT</x:v>
      </x:c>
      <x:c r="I9" s="40" t="n">
        <x:v>1</x:v>
      </x:c>
      <x:c r="J9" s="40" t="n">
        <x:v>0</x:v>
      </x:c>
      <x:c r="K9" s="40" t="n">
        <x:f>'Current Sizing'!$B$10</x:f>
        <x:v>4</x:v>
      </x:c>
      <x:c r="L9" s="40" t="n">
        <x:f>I9+(J9*K9)</x:f>
        <x:v>1</x:v>
      </x:c>
      <x:c r="M9" s="40" t="n">
        <x:v>0</x:v>
      </x:c>
      <x:c r="N9" s="39" t="str">
        <x:v>Card detect</x:v>
      </x:c>
      <x:c r="O9" s="39" t="str">
        <x:v>Listed; recheck</x:v>
      </x:c>
      <x:c r="P9" s="39" t="str">
        <x:v>SMT/manual check</x:v>
      </x:c>
      <x:c r="Q9" s="39" t="str">
        <x:v>SPI mode; confirm footprint and card-removal clearance</x:v>
      </x:c>
      <x:c r="R9" s="39" t="str">
        <x:v>https://www.lcsc.com/product-detail/C19807215.html</x:v>
      </x:c>
      <x:c r="S9" s="39" t="str">
        <x:v>https://www.molex.com/en-us/products/part-detail/475710001</x:v>
      </x:c>
    </x:row>
    <x:row r="10" ht="26.399999618530273" hidden="0" customHeight="1">
      <x:c r="A10" s="39" t="n">
        <x:v>5</x:v>
      </x:c>
      <x:c r="B10" s="39" t="str">
        <x:v>Selected</x:v>
      </x:c>
      <x:c r="C10" s="39" t="str">
        <x:v>Storage</x:v>
      </x:c>
      <x:c r="D10" s="39" t="str">
        <x:v>microSD rail load switch</x:v>
      </x:c>
      <x:c r="E10" s="39" t="str">
        <x:v>Texas Instruments</x:v>
      </x:c>
      <x:c r="F10" s="39" t="str">
        <x:v>TPS22918DBVR</x:v>
      </x:c>
      <x:c r="G10" s="39" t="str">
        <x:v>C131941</x:v>
      </x:c>
      <x:c r="H10" s="39" t="str">
        <x:v>SOT-23-5</x:v>
      </x:c>
      <x:c r="I10" s="40" t="n">
        <x:v>1</x:v>
      </x:c>
      <x:c r="J10" s="40" t="n">
        <x:v>0</x:v>
      </x:c>
      <x:c r="K10" s="40" t="n">
        <x:f>'Current Sizing'!$B$10</x:f>
        <x:v>4</x:v>
      </x:c>
      <x:c r="L10" s="40" t="n">
        <x:f>I10+(J10*K10)</x:f>
        <x:v>1</x:v>
      </x:c>
      <x:c r="M10" s="40" t="n">
        <x:v>0</x:v>
      </x:c>
      <x:c r="N10" s="39" t="str">
        <x:v>2 A, controlled rise time</x:v>
      </x:c>
      <x:c r="O10" s="39" t="str">
        <x:v>Listed; recheck</x:v>
      </x:c>
      <x:c r="P10" s="39" t="str">
        <x:v>SMT</x:v>
      </x:c>
      <x:c r="Q10" s="39" t="str">
        <x:v>Enable through non-critical GPIO expander; passive OFF default</x:v>
      </x:c>
      <x:c r="R10" s="39" t="str">
        <x:v>https://www.lcsc.com/product-detail/C131941.html</x:v>
      </x:c>
      <x:c r="S10" s="39" t="str">
        <x:v>https://www.ti.com/lit/ds/symlink/tps22918.pdf</x:v>
      </x:c>
    </x:row>
    <x:row r="11" ht="26.399999618530273" hidden="0" customHeight="1">
      <x:c r="A11" s="39" t="n">
        <x:v>6</x:v>
      </x:c>
      <x:c r="B11" s="39" t="str">
        <x:v>Selected</x:v>
      </x:c>
      <x:c r="C11" s="39" t="str">
        <x:v>Storage</x:v>
      </x:c>
      <x:c r="D11" s="39" t="str">
        <x:v>microSD ESD array</x:v>
      </x:c>
      <x:c r="E11" s="39" t="str">
        <x:v>Texas Instruments</x:v>
      </x:c>
      <x:c r="F11" s="39" t="str">
        <x:v>TPD6E05U06RVZR</x:v>
      </x:c>
      <x:c r="G11" s="39" t="str">
        <x:v>C962978</x:v>
      </x:c>
      <x:c r="H11" s="39" t="str">
        <x:v>USON-14</x:v>
      </x:c>
      <x:c r="I11" s="40" t="n">
        <x:v>1</x:v>
      </x:c>
      <x:c r="J11" s="40" t="n">
        <x:v>0</x:v>
      </x:c>
      <x:c r="K11" s="40" t="n">
        <x:f>'Current Sizing'!$B$10</x:f>
        <x:v>4</x:v>
      </x:c>
      <x:c r="L11" s="40" t="n">
        <x:f>I11+(J11*K11)</x:f>
        <x:v>1</x:v>
      </x:c>
      <x:c r="M11" s="40" t="n">
        <x:v>0</x:v>
      </x:c>
      <x:c r="N11" s="39" t="str">
        <x:v>6-channel low-capacitance ESD</x:v>
      </x:c>
      <x:c r="O11" s="39" t="str">
        <x:v>Listed; recheck</x:v>
      </x:c>
      <x:c r="P11" s="39" t="str">
        <x:v>SMT</x:v>
      </x:c>
      <x:c r="Q11" s="39" t="str">
        <x:v>Place at socket; verify layout escape</x:v>
      </x:c>
      <x:c r="R11" s="39" t="str">
        <x:v>https://www.lcsc.com/product-detail/C962978.html</x:v>
      </x:c>
      <x:c r="S11" s="39" t="str">
        <x:v>https://www.ti.com/lit/ds/symlink/tpd6e05u06.pdf</x:v>
      </x:c>
    </x:row>
    <x:row r="12" ht="39.599998474121094" hidden="0" customHeight="1">
      <x:c r="A12" s="39" t="n">
        <x:v>7</x:v>
      </x:c>
      <x:c r="B12" s="39" t="str">
        <x:v>Selected</x:v>
      </x:c>
      <x:c r="C12" s="39" t="str">
        <x:v>Motor control</x:v>
      </x:c>
      <x:c r="D12" s="39" t="str">
        <x:v>Programmable sensorless FOC controller</x:v>
      </x:c>
      <x:c r="E12" s="39" t="str">
        <x:v>STMicroelectronics</x:v>
      </x:c>
      <x:c r="F12" s="39" t="str">
        <x:v>STSPIN32G4</x:v>
      </x:c>
      <x:c r="G12" s="39" t="str">
        <x:v>C7434864</x:v>
      </x:c>
      <x:c r="H12" s="39" t="str">
        <x:v>VFQFPN-64 9×9 mm EP, 0.5 mm pitch</x:v>
      </x:c>
      <x:c r="I12" s="40" t="n">
        <x:v>0</x:v>
      </x:c>
      <x:c r="J12" s="40" t="n">
        <x:v>1</x:v>
      </x:c>
      <x:c r="K12" s="40" t="n">
        <x:f>'Current Sizing'!$B$10</x:f>
        <x:v>4</x:v>
      </x:c>
      <x:c r="L12" s="40" t="n">
        <x:f>I12+(J12*K12)</x:f>
        <x:v>4</x:v>
      </x:c>
      <x:c r="M12" s="40" t="n">
        <x:v>0</x:v>
      </x:c>
      <x:c r="N12" s="39" t="str">
        <x:v>5.5–75 V VM; embedded 170 MHz STM32G431; 1 A gate drive</x:v>
      </x:c>
      <x:c r="O12" s="39" t="str">
        <x:v>1,515 seen 2026-09-03; recheck</x:v>
      </x:c>
      <x:c r="P12" s="39" t="str">
        <x:v>SMT/JLCPCB</x:v>
      </x:c>
      <x:c r="Q12" s="39" t="str">
        <x:v>No same-family exposed-lead package exists; use ST land pattern, segmented paste, thermal vias and first-article inspection; program all four nodes</x:v>
      </x:c>
      <x:c r="R12" s="39" t="str">
        <x:v>https://www.lcsc.com/product-detail/C7434864.html</x:v>
      </x:c>
      <x:c r="S12" s="39" t="str">
        <x:v>https://www.st.com/resource/en/datasheet/stspin32g4.pdf</x:v>
      </x:c>
    </x:row>
    <x:row r="13" ht="39.599998474121094" hidden="0" customHeight="1">
      <x:c r="A13" s="39" t="n">
        <x:v>8</x:v>
      </x:c>
      <x:c r="B13" s="39" t="str">
        <x:v>Provisional</x:v>
      </x:c>
      <x:c r="C13" s="39" t="str">
        <x:v>Power stage</x:v>
      </x:c>
      <x:c r="D13" s="39" t="str">
        <x:v>100 V N-MOSFET</x:v>
      </x:c>
      <x:c r="E13" s="39" t="str">
        <x:v>Infineon</x:v>
      </x:c>
      <x:c r="F13" s="39" t="str">
        <x:v>IPT015N10N5ATMA1</x:v>
      </x:c>
      <x:c r="G13" s="39" t="str">
        <x:v>C108964</x:v>
      </x:c>
      <x:c r="H13" s="39" t="str">
        <x:v>TOLL</x:v>
      </x:c>
      <x:c r="I13" s="40" t="n">
        <x:v>0</x:v>
      </x:c>
      <x:c r="J13" s="40" t="n">
        <x:v>6</x:v>
      </x:c>
      <x:c r="K13" s="40" t="n">
        <x:f>'Current Sizing'!$B$10</x:f>
        <x:v>4</x:v>
      </x:c>
      <x:c r="L13" s="40" t="n">
        <x:f>I13+(J13*K13)</x:f>
        <x:v>24</x:v>
      </x:c>
      <x:c r="M13" s="40" t="n">
        <x:v>0</x:v>
      </x:c>
      <x:c r="N13" s="39" t="str">
        <x:v>100 V; 1.5 mΩ max at 10 V; 2.0 mΩ max at 6 V; 211 nC max Qg</x:v>
      </x:c>
      <x:c r="O13" s="39" t="str">
        <x:v>Listed; recheck</x:v>
      </x:c>
      <x:c r="P13" s="39" t="str">
        <x:v>SMT/manual thermal</x:v>
      </x:c>
      <x:c r="Q13" s="39" t="str">
        <x:v>Use the guaranteed 2.0 mΩ maximum at 6 V for conservative first-pass conduction loss; the actual 8 V starting gate rail still requires double-pulse and thermal evidence</x:v>
      </x:c>
      <x:c r="R13" s="39" t="str">
        <x:v>https://www.lcsc.com/product-detail/C108964.html</x:v>
      </x:c>
      <x:c r="S13" s="39" t="str">
        <x:v>https://www.infineon.com/assets/row/public/documents/24/49/infineon-ipt015n10n5-datasheet-en.pdf</x:v>
      </x:c>
    </x:row>
    <x:row r="14" ht="26.399999618530273" hidden="0" customHeight="1">
      <x:c r="A14" s="39" t="n">
        <x:v>9</x:v>
      </x:c>
      <x:c r="B14" s="39" t="str">
        <x:v>Selected</x:v>
      </x:c>
      <x:c r="C14" s="39" t="str">
        <x:v>Current sense</x:v>
      </x:c>
      <x:c r="D14" s="39" t="str">
        <x:v>Kelvin phase-current shunt</x:v>
      </x:c>
      <x:c r="E14" s="39" t="str">
        <x:v>Isabellenhuette</x:v>
      </x:c>
      <x:c r="F14" s="39" t="str">
        <x:v>BVN-Z-R0005-1.0</x:v>
      </x:c>
      <x:c r="G14" s="39" t="str">
        <x:v>C2688874</x:v>
      </x:c>
      <x:c r="H14" s="39" t="str">
        <x:v>4-terminal 1216</x:v>
      </x:c>
      <x:c r="I14" s="40" t="n">
        <x:v>0</x:v>
      </x:c>
      <x:c r="J14" s="40" t="n">
        <x:v>3</x:v>
      </x:c>
      <x:c r="K14" s="40" t="n">
        <x:f>'Current Sizing'!$B$10</x:f>
        <x:v>4</x:v>
      </x:c>
      <x:c r="L14" s="40" t="n">
        <x:f>I14+(J14*K14)</x:f>
        <x:v>12</x:v>
      </x:c>
      <x:c r="M14" s="40" t="n">
        <x:v>0</x:v>
      </x:c>
      <x:c r="N14" s="39" t="str">
        <x:v>0.5 mΩ, 5 W, Kelvin</x:v>
      </x:c>
      <x:c r="O14" s="39" t="str">
        <x:v>~2,024 seen; recheck</x:v>
      </x:c>
      <x:c r="P14" s="39" t="str">
        <x:v>SMT/manual check</x:v>
      </x:c>
      <x:c r="Q14" s="39" t="str">
        <x:v>Three per node for synchronized FOC sampling; gain 32 is a provisional starting point and 0.5 mΩ remains release-gated</x:v>
      </x:c>
      <x:c r="R14" s="39" t="str">
        <x:v>https://www.lcsc.com/product-detail/C2688874.html</x:v>
      </x:c>
      <x:c r="S14" s="39" t="str">
        <x:v>https://www.isabellenhuette.com/hubfs/Files/Data-sheets/BVN.pdf</x:v>
      </x:c>
    </x:row>
    <x:row r="15" ht="26.399999618530273" hidden="0" customHeight="1">
      <x:c r="A15" s="39" t="n">
        <x:v>10</x:v>
      </x:c>
      <x:c r="B15" s="39" t="str">
        <x:v>Selected</x:v>
      </x:c>
      <x:c r="C15" s="39" t="str">
        <x:v>Current sense</x:v>
      </x:c>
      <x:c r="D15" s="39" t="str">
        <x:v>High-side branch shunt</x:v>
      </x:c>
      <x:c r="E15" s="39" t="str">
        <x:v>Isabellenhuette</x:v>
      </x:c>
      <x:c r="F15" s="39" t="str">
        <x:v>BVN-Z-R0005-1.0</x:v>
      </x:c>
      <x:c r="G15" s="39" t="str">
        <x:v>C2688874</x:v>
      </x:c>
      <x:c r="H15" s="39" t="str">
        <x:v>4-terminal 1216</x:v>
      </x:c>
      <x:c r="I15" s="40" t="n">
        <x:v>0</x:v>
      </x:c>
      <x:c r="J15" s="40" t="n">
        <x:v>1</x:v>
      </x:c>
      <x:c r="K15" s="40" t="n">
        <x:f>'Current Sizing'!$B$10</x:f>
        <x:v>4</x:v>
      </x:c>
      <x:c r="L15" s="40" t="n">
        <x:f>I15+(J15*K15)</x:f>
        <x:v>4</x:v>
      </x:c>
      <x:c r="M15" s="40" t="n">
        <x:v>0</x:v>
      </x:c>
      <x:c r="N15" s="39" t="str">
        <x:v>0.5 mΩ, 5 W, Kelvin</x:v>
      </x:c>
      <x:c r="O15" s="39" t="str">
        <x:v>~2,024 seen; recheck</x:v>
      </x:c>
      <x:c r="P15" s="39" t="str">
        <x:v>SMT/manual check</x:v>
      </x:c>
      <x:c r="Q15" s="39" t="str">
        <x:v>Separate battery-branch telemetry domain from the three fast phase-current shunts</x:v>
      </x:c>
      <x:c r="R15" s="39" t="str">
        <x:v>https://www.lcsc.com/product-detail/C2688874.html</x:v>
      </x:c>
      <x:c r="S15" s="39" t="str">
        <x:v>https://www.isabellenhuette.com/hubfs/Files/Data-sheets/BVN.pdf</x:v>
      </x:c>
    </x:row>
    <x:row r="16" ht="26.399999618530273" hidden="0" customHeight="1">
      <x:c r="A16" s="39" t="n">
        <x:v>11</x:v>
      </x:c>
      <x:c r="B16" s="39" t="str">
        <x:v>Selected</x:v>
      </x:c>
      <x:c r="C16" s="39" t="str">
        <x:v>Current sense</x:v>
      </x:c>
      <x:c r="D16" s="39" t="str">
        <x:v>Branch current/voltage/power monitor</x:v>
      </x:c>
      <x:c r="E16" s="39" t="str">
        <x:v>Texas Instruments</x:v>
      </x:c>
      <x:c r="F16" s="39" t="str">
        <x:v>INA238AIDGSR</x:v>
      </x:c>
      <x:c r="G16" s="39" t="str">
        <x:v>C2868250</x:v>
      </x:c>
      <x:c r="H16" s="39" t="str">
        <x:v>VSSOP-10</x:v>
      </x:c>
      <x:c r="I16" s="40" t="n">
        <x:v>0</x:v>
      </x:c>
      <x:c r="J16" s="40" t="n">
        <x:v>1</x:v>
      </x:c>
      <x:c r="K16" s="40" t="n">
        <x:f>'Current Sizing'!$B$10</x:f>
        <x:v>4</x:v>
      </x:c>
      <x:c r="L16" s="40" t="n">
        <x:f>I16+(J16*K16)</x:f>
        <x:v>4</x:v>
      </x:c>
      <x:c r="M16" s="40" t="n">
        <x:v>0</x:v>
      </x:c>
      <x:c r="N16" s="39" t="str">
        <x:v>85 V common mode, 16-bit I2C</x:v>
      </x:c>
      <x:c r="O16" s="39" t="str">
        <x:v>~2.5k seen; recheck</x:v>
      </x:c>
      <x:c r="P16" s="39" t="str">
        <x:v>SMT</x:v>
      </x:c>
      <x:c r="Q16" s="39" t="str">
        <x:v>Behind its motor-node I2C mux channel; supervisory telemetry, not fast protection</x:v>
      </x:c>
      <x:c r="R16" s="39" t="str">
        <x:v>https://www.lcsc.com/product-detail/C2868250.html</x:v>
      </x:c>
      <x:c r="S16" s="39" t="str">
        <x:v>https://www.ti.com/lit/ds/symlink/ina238.pdf</x:v>
      </x:c>
    </x:row>
    <x:row r="17" ht="26.399999618530273" hidden="0" customHeight="1">
      <x:c r="A17" s="39" t="n">
        <x:v>12</x:v>
      </x:c>
      <x:c r="B17" s="39" t="str">
        <x:v>Selected</x:v>
      </x:c>
      <x:c r="C17" s="39" t="str">
        <x:v>Control bus</x:v>
      </x:c>
      <x:c r="D17" s="39" t="str">
        <x:v>8-channel I2C switch</x:v>
      </x:c>
      <x:c r="E17" s="39" t="str">
        <x:v>Texas Instruments</x:v>
      </x:c>
      <x:c r="F17" s="39" t="str">
        <x:v>TCA9548APWR</x:v>
      </x:c>
      <x:c r="G17" s="39" t="str">
        <x:v>C130026</x:v>
      </x:c>
      <x:c r="H17" s="39" t="str">
        <x:v>TSSOP-24</x:v>
      </x:c>
      <x:c r="I17" s="40" t="n">
        <x:v>1</x:v>
      </x:c>
      <x:c r="J17" s="40" t="n">
        <x:v>0</x:v>
      </x:c>
      <x:c r="K17" s="40" t="n">
        <x:f>'Current Sizing'!$B$10</x:f>
        <x:v>4</x:v>
      </x:c>
      <x:c r="L17" s="40" t="n">
        <x:f>I17+(J17*K17)</x:f>
        <x:v>1</x:v>
      </x:c>
      <x:c r="M17" s="40" t="n">
        <x:v>0</x:v>
      </x:c>
      <x:c r="N17" s="39" t="str">
        <x:v>1-of-8 downstream channel selection; active-low RESET</x:v>
      </x:c>
      <x:c r="O17" s="39" t="str">
        <x:v>Listed; recheck</x:v>
      </x:c>
      <x:c r="P17" s="39" t="str">
        <x:v>SMT</x:v>
      </x:c>
      <x:c r="Q17" s="39" t="str">
        <x:v>GPIO48 RESET; ch0–3 each isolate STM32 I2C2 on PA8/PA9 plus INA238; ch4–5 thermal ADCs; ch6–7 reserved</x:v>
      </x:c>
      <x:c r="R17" s="39" t="str">
        <x:v>https://www.lcsc.com/product-detail/C130026.html</x:v>
      </x:c>
      <x:c r="S17" s="39" t="str">
        <x:v>https://www.ti.com/lit/ds/symlink/tca9548a.pdf</x:v>
      </x:c>
    </x:row>
    <x:row r="18" ht="26.399999618530273" hidden="0" customHeight="1">
      <x:c r="A18" s="39" t="n">
        <x:v>13</x:v>
      </x:c>
      <x:c r="B18" s="39" t="str">
        <x:v>Selected</x:v>
      </x:c>
      <x:c r="C18" s="39" t="str">
        <x:v>Control bus</x:v>
      </x:c>
      <x:c r="D18" s="39" t="str">
        <x:v>I2C GPIO expander</x:v>
      </x:c>
      <x:c r="E18" s="39" t="str">
        <x:v>Texas Instruments</x:v>
      </x:c>
      <x:c r="F18" s="39" t="str">
        <x:v>TCA9534APWR</x:v>
      </x:c>
      <x:c r="G18" s="39" t="str">
        <x:v>C206010</x:v>
      </x:c>
      <x:c r="H18" s="39" t="str">
        <x:v>TSSOP-16</x:v>
      </x:c>
      <x:c r="I18" s="40" t="n">
        <x:v>1</x:v>
      </x:c>
      <x:c r="J18" s="40" t="n">
        <x:v>0</x:v>
      </x:c>
      <x:c r="K18" s="40" t="n">
        <x:f>'Current Sizing'!$B$10</x:f>
        <x:v>4</x:v>
      </x:c>
      <x:c r="L18" s="40" t="n">
        <x:f>I18+(J18*K18)</x:f>
        <x:v>1</x:v>
      </x:c>
      <x:c r="M18" s="40" t="n">
        <x:v>0</x:v>
      </x:c>
      <x:c r="N18" s="39" t="str">
        <x:v>8 non-critical GPIO</x:v>
      </x:c>
      <x:c r="O18" s="39" t="str">
        <x:v>Listed; recheck</x:v>
      </x:c>
      <x:c r="P18" s="39" t="str">
        <x:v>SMT</x:v>
      </x:c>
      <x:c r="Q18" s="39" t="str">
        <x:v>SD power, fans, indicators and fault-latch status only; never motor command, FG capture or node reset</x:v>
      </x:c>
      <x:c r="R18" s="39" t="str">
        <x:v>https://www.lcsc.com/product-detail/C206010.html</x:v>
      </x:c>
      <x:c r="S18" s="39" t="str">
        <x:v>https://www.ti.com/lit/ds/symlink/tca9534a.pdf</x:v>
      </x:c>
    </x:row>
    <x:row r="19" ht="26.399999618530273" hidden="0" customHeight="1">
      <x:c r="A19" s="39" t="n">
        <x:v>14</x:v>
      </x:c>
      <x:c r="B19" s="39" t="str">
        <x:v>Selected</x:v>
      </x:c>
      <x:c r="C19" s="39" t="str">
        <x:v>Thermal acquisition</x:v>
      </x:c>
      <x:c r="D19" s="39" t="str">
        <x:v>16-bit 4-channel ADC</x:v>
      </x:c>
      <x:c r="E19" s="39" t="str">
        <x:v>Texas Instruments</x:v>
      </x:c>
      <x:c r="F19" s="39" t="str">
        <x:v>ADS1115IDGSR</x:v>
      </x:c>
      <x:c r="G19" s="39" t="str">
        <x:v>C37593</x:v>
      </x:c>
      <x:c r="H19" s="39" t="str">
        <x:v>VSSOP-10</x:v>
      </x:c>
      <x:c r="I19" s="40" t="n">
        <x:v>2</x:v>
      </x:c>
      <x:c r="J19" s="40" t="n">
        <x:v>0</x:v>
      </x:c>
      <x:c r="K19" s="40" t="n">
        <x:f>'Current Sizing'!$B$10</x:f>
        <x:v>4</x:v>
      </x:c>
      <x:c r="L19" s="40" t="n">
        <x:f>I19+(J19*K19)</x:f>
        <x:v>2</x:v>
      </x:c>
      <x:c r="M19" s="40" t="n">
        <x:v>0</x:v>
      </x:c>
      <x:c r="N19" s="39" t="str">
        <x:v>4 single-ended channels, up to 860 SPS, I2C</x:v>
      </x:c>
      <x:c r="O19" s="39" t="str">
        <x:v>Listed; recheck</x:v>
      </x:c>
      <x:c r="P19" s="39" t="str">
        <x:v>SMT</x:v>
      </x:c>
      <x:c r="Q19" s="39" t="str">
        <x:v>One each on mux ch4/ch5; eight NTC divider channels total</x:v>
      </x:c>
      <x:c r="R19" s="39" t="str">
        <x:v>https://www.lcsc.com/product-detail/C37593.html</x:v>
      </x:c>
      <x:c r="S19" s="39" t="str">
        <x:v>https://www.ti.com/lit/ds/symlink/ads1115.pdf</x:v>
      </x:c>
    </x:row>
    <x:row r="20" ht="26.399999618530273" hidden="0" customHeight="1">
      <x:c r="A20" s="39" t="n">
        <x:v>15</x:v>
      </x:c>
      <x:c r="B20" s="39" t="str">
        <x:v>Selected</x:v>
      </x:c>
      <x:c r="C20" s="39" t="str">
        <x:v>ST node support</x:v>
      </x:c>
      <x:c r="D20" s="39" t="str">
        <x:v>Integrated-buck catch diode</x:v>
      </x:c>
      <x:c r="E20" s="39" t="str">
        <x:v>STMicroelectronics</x:v>
      </x:c>
      <x:c r="F20" s="39" t="str">
        <x:v>STPS1H100A</x:v>
      </x:c>
      <x:c r="G20" s="39" t="str">
        <x:v>C165701</x:v>
      </x:c>
      <x:c r="H20" s="39" t="str">
        <x:v>SMA</x:v>
      </x:c>
      <x:c r="I20" s="40" t="n">
        <x:v>0</x:v>
      </x:c>
      <x:c r="J20" s="40" t="n">
        <x:v>1</x:v>
      </x:c>
      <x:c r="K20" s="40" t="n">
        <x:f>'Current Sizing'!$B$10</x:f>
        <x:v>4</x:v>
      </x:c>
      <x:c r="L20" s="40" t="n">
        <x:f>I20+(J20*K20)</x:f>
        <x:v>4</x:v>
      </x:c>
      <x:c r="M20" s="40" t="n">
        <x:v>0</x:v>
      </x:c>
      <x:c r="N20" s="39" t="str">
        <x:v>100 V, 1 A Schottky</x:v>
      </x:c>
      <x:c r="O20" s="39" t="str">
        <x:v>Thousands seen; recheck</x:v>
      </x:c>
      <x:c r="P20" s="39" t="str">
        <x:v>SMT</x:v>
      </x:c>
      <x:c r="Q20" s="39" t="str">
        <x:v>ST typical application D1; place in the minimum buck switching loop</x:v>
      </x:c>
      <x:c r="R20" s="39" t="str">
        <x:v>https://www.lcsc.com/product-detail/C165701.html</x:v>
      </x:c>
      <x:c r="S20" s="39" t="str">
        <x:v>https://www.st.com/resource/en/datasheet/stps1h100.pdf</x:v>
      </x:c>
    </x:row>
    <x:row r="21" ht="26.399999618530273" hidden="0" customHeight="1">
      <x:c r="A21" s="39" t="n">
        <x:v>16</x:v>
      </x:c>
      <x:c r="B21" s="39" t="str">
        <x:v>Selected</x:v>
      </x:c>
      <x:c r="C21" s="39" t="str">
        <x:v>ST node support</x:v>
      </x:c>
      <x:c r="D21" s="39" t="str">
        <x:v>Integrated-buck inductor</x:v>
      </x:c>
      <x:c r="E21" s="39" t="str">
        <x:v>Changjiang Microelectronics</x:v>
      </x:c>
      <x:c r="F21" s="39" t="str">
        <x:v>FNR5040S180MT</x:v>
      </x:c>
      <x:c r="G21" s="39" t="str">
        <x:v>C167970</x:v>
      </x:c>
      <x:c r="H21" s="39" t="str">
        <x:v>5040 shielded</x:v>
      </x:c>
      <x:c r="I21" s="40" t="n">
        <x:v>0</x:v>
      </x:c>
      <x:c r="J21" s="40" t="n">
        <x:v>1</x:v>
      </x:c>
      <x:c r="K21" s="40" t="n">
        <x:f>'Current Sizing'!$B$10</x:f>
        <x:v>4</x:v>
      </x:c>
      <x:c r="L21" s="40" t="n">
        <x:f>I21+(J21*K21)</x:f>
        <x:v>4</x:v>
      </x:c>
      <x:c r="M21" s="40" t="n">
        <x:v>0</x:v>
      </x:c>
      <x:c r="N21" s="39" t="str">
        <x:v>18 µH; 1.65 A rated; 2.0 A saturation</x:v>
      </x:c>
      <x:c r="O21" s="39" t="str">
        <x:v>~4,640 seen; recheck</x:v>
      </x:c>
      <x:c r="P21" s="39" t="str">
        <x:v>SMT</x:v>
      </x:c>
      <x:c r="Q21" s="39" t="str">
        <x:v>Meets the ST 18 µH/1 A typical starting requirement; verify ripple, saturation and temperature</x:v>
      </x:c>
      <x:c r="R21" s="39" t="str">
        <x:v>https://www.lcsc.com/product-detail/C167970.html</x:v>
      </x:c>
      <x:c r="S21" s="39" t="str">
        <x:v>https://www.lcsc.com/product-detail/C167970.html</x:v>
      </x:c>
    </x:row>
    <x:row r="22" ht="26.399999618530273" hidden="0" customHeight="1">
      <x:c r="A22" s="39" t="n">
        <x:v>17</x:v>
      </x:c>
      <x:c r="B22" s="39" t="str">
        <x:v>Selected</x:v>
      </x:c>
      <x:c r="C22" s="39" t="str">
        <x:v>ST node support</x:v>
      </x:c>
      <x:c r="D22" s="39" t="str">
        <x:v>VCC buck output capacitor</x:v>
      </x:c>
      <x:c r="E22" s="39" t="str">
        <x:v>Samsung</x:v>
      </x:c>
      <x:c r="F22" s="39" t="str">
        <x:v>CL32B106KBJNNNE</x:v>
      </x:c>
      <x:c r="G22" s="39" t="str">
        <x:v>C138687</x:v>
      </x:c>
      <x:c r="H22" s="39" t="str">
        <x:v>1210</x:v>
      </x:c>
      <x:c r="I22" s="40" t="n">
        <x:v>0</x:v>
      </x:c>
      <x:c r="J22" s="40" t="n">
        <x:v>1</x:v>
      </x:c>
      <x:c r="K22" s="40" t="n">
        <x:f>'Current Sizing'!$B$10</x:f>
        <x:v>4</x:v>
      </x:c>
      <x:c r="L22" s="40" t="n">
        <x:f>I22+(J22*K22)</x:f>
        <x:v>4</x:v>
      </x:c>
      <x:c r="M22" s="40" t="n">
        <x:v>0</x:v>
      </x:c>
      <x:c r="N22" s="39" t="str">
        <x:v>10 µF, 50 V, X7R</x:v>
      </x:c>
      <x:c r="O22" s="39" t="str">
        <x:v>Listed; recheck</x:v>
      </x:c>
      <x:c r="P22" s="39" t="str">
        <x:v>SMT</x:v>
      </x:c>
      <x:c r="Q22" s="39" t="str">
        <x:v>ST typical COUT; verify effective capacitance at the selected gate-drive rail</x:v>
      </x:c>
      <x:c r="R22" s="39" t="str">
        <x:v>https://www.lcsc.com/product-detail/C138687.html</x:v>
      </x:c>
      <x:c r="S22" s="39" t="str">
        <x:v>https://product.samsungsem.com/mlcc/</x:v>
      </x:c>
    </x:row>
    <x:row r="23" ht="26.399999618530273" hidden="0" customHeight="1">
      <x:c r="A23" s="39" t="n">
        <x:v>18</x:v>
      </x:c>
      <x:c r="B23" s="39" t="str">
        <x:v>Selected</x:v>
      </x:c>
      <x:c r="C23" s="39" t="str">
        <x:v>ST node support</x:v>
      </x:c>
      <x:c r="D23" s="39" t="str">
        <x:v>3.3 V regulator bulk capacitor</x:v>
      </x:c>
      <x:c r="E23" s="39" t="str">
        <x:v>Samsung</x:v>
      </x:c>
      <x:c r="F23" s="39" t="str">
        <x:v>CL21B106KOQNNNE</x:v>
      </x:c>
      <x:c r="G23" s="39" t="str">
        <x:v>C95841</x:v>
      </x:c>
      <x:c r="H23" s="39" t="str">
        <x:v>0805</x:v>
      </x:c>
      <x:c r="I23" s="40" t="n">
        <x:v>0</x:v>
      </x:c>
      <x:c r="J23" s="40" t="n">
        <x:v>1</x:v>
      </x:c>
      <x:c r="K23" s="40" t="n">
        <x:f>'Current Sizing'!$B$10</x:f>
        <x:v>4</x:v>
      </x:c>
      <x:c r="L23" s="40" t="n">
        <x:f>I23+(J23*K23)</x:f>
        <x:v>4</x:v>
      </x:c>
      <x:c r="M23" s="40" t="n">
        <x:v>0</x:v>
      </x:c>
      <x:c r="N23" s="39" t="str">
        <x:v>10 µF, 16 V, X7R</x:v>
      </x:c>
      <x:c r="O23" s="39" t="str">
        <x:v>Listed; recheck</x:v>
      </x:c>
      <x:c r="P23" s="39" t="str">
        <x:v>SMT</x:v>
      </x:c>
      <x:c r="Q23" s="39" t="str">
        <x:v>ST typical CREG3V3_2; verify effective capacitance</x:v>
      </x:c>
      <x:c r="R23" s="39" t="str">
        <x:v>https://www.lcsc.com/product-detail/C95841.html</x:v>
      </x:c>
      <x:c r="S23" s="39" t="str">
        <x:v>https://product.samsungsem.com/mlcc/</x:v>
      </x:c>
    </x:row>
    <x:row r="24" ht="26.399999618530273" hidden="0" customHeight="1">
      <x:c r="A24" s="39" t="n">
        <x:v>19</x:v>
      </x:c>
      <x:c r="B24" s="39" t="str">
        <x:v>Selected</x:v>
      </x:c>
      <x:c r="C24" s="39" t="str">
        <x:v>ST node support</x:v>
      </x:c>
      <x:c r="D24" s="39" t="str">
        <x:v>Analog/reference 1 µF capacitor</x:v>
      </x:c>
      <x:c r="E24" s="39" t="str">
        <x:v>Samsung</x:v>
      </x:c>
      <x:c r="F24" s="39" t="str">
        <x:v>CL10B105KA8NNNC</x:v>
      </x:c>
      <x:c r="G24" s="39" t="str">
        <x:v>C29936</x:v>
      </x:c>
      <x:c r="H24" s="39" t="str">
        <x:v>0603</x:v>
      </x:c>
      <x:c r="I24" s="40" t="n">
        <x:v>0</x:v>
      </x:c>
      <x:c r="J24" s="40" t="n">
        <x:v>2</x:v>
      </x:c>
      <x:c r="K24" s="40" t="n">
        <x:f>'Current Sizing'!$B$10</x:f>
        <x:v>4</x:v>
      </x:c>
      <x:c r="L24" s="40" t="n">
        <x:f>I24+(J24*K24)</x:f>
        <x:v>8</x:v>
      </x:c>
      <x:c r="M24" s="40" t="n">
        <x:v>0</x:v>
      </x:c>
      <x:c r="N24" s="39" t="str">
        <x:v>1 µF, 25 V, X7R</x:v>
      </x:c>
      <x:c r="O24" s="39" t="str">
        <x:v>Listed; recheck</x:v>
      </x:c>
      <x:c r="P24" s="39" t="str">
        <x:v>SMT</x:v>
      </x:c>
      <x:c r="Q24" s="39" t="str">
        <x:v>ST typical CREF2 and CDDA2; place at assigned pins</x:v>
      </x:c>
      <x:c r="R24" s="39" t="str">
        <x:v>https://www.lcsc.com/product-detail/C29936.html</x:v>
      </x:c>
      <x:c r="S24" s="39" t="str">
        <x:v>https://product.samsungsem.com/mlcc/</x:v>
      </x:c>
    </x:row>
    <x:row r="25" ht="26.399999618530273" hidden="0" customHeight="1">
      <x:c r="A25" s="39" t="n">
        <x:v>20</x:v>
      </x:c>
      <x:c r="B25" s="39" t="str">
        <x:v>Selected</x:v>
      </x:c>
      <x:c r="C25" s="39" t="str">
        <x:v>ST node support</x:v>
      </x:c>
      <x:c r="D25" s="39" t="str">
        <x:v>Local 100 nF bypass capacitor</x:v>
      </x:c>
      <x:c r="E25" s="39" t="str">
        <x:v>Samsung</x:v>
      </x:c>
      <x:c r="F25" s="39" t="str">
        <x:v>CL05B104KB5NNNC</x:v>
      </x:c>
      <x:c r="G25" s="39" t="str">
        <x:v>C960916</x:v>
      </x:c>
      <x:c r="H25" s="39" t="str">
        <x:v>0402</x:v>
      </x:c>
      <x:c r="I25" s="40" t="n">
        <x:v>0</x:v>
      </x:c>
      <x:c r="J25" s="40" t="n">
        <x:v>5</x:v>
      </x:c>
      <x:c r="K25" s="40" t="n">
        <x:f>'Current Sizing'!$B$10</x:f>
        <x:v>4</x:v>
      </x:c>
      <x:c r="L25" s="40" t="n">
        <x:f>I25+(J25*K25)</x:f>
        <x:v>20</x:v>
      </x:c>
      <x:c r="M25" s="40" t="n">
        <x:v>0</x:v>
      </x:c>
      <x:c r="N25" s="39" t="str">
        <x:v>100 nF, 50 V, X7R</x:v>
      </x:c>
      <x:c r="O25" s="39" t="str">
        <x:v>High stock seen; recheck</x:v>
      </x:c>
      <x:c r="P25" s="39" t="str">
        <x:v>SMT</x:v>
      </x:c>
      <x:c r="Q25" s="39" t="str">
        <x:v>ST typical CBAT, CREF1, CDDA1, CREG3V3_1 and CRST; audit every supply pin</x:v>
      </x:c>
      <x:c r="R25" s="39" t="str">
        <x:v>https://www.lcsc.com/product-detail/C960916.html</x:v>
      </x:c>
      <x:c r="S25" s="39" t="str">
        <x:v>https://product.samsungsem.com/mlcc/</x:v>
      </x:c>
    </x:row>
    <x:row r="26" ht="26.399999618530273" hidden="0" customHeight="1">
      <x:c r="A26" s="39" t="n">
        <x:v>21</x:v>
      </x:c>
      <x:c r="B26" s="39" t="str">
        <x:v>Selected</x:v>
      </x:c>
      <x:c r="C26" s="39" t="str">
        <x:v>ST node support</x:v>
      </x:c>
      <x:c r="D26" s="39" t="str">
        <x:v>VM bypass and bootstrap capacitor</x:v>
      </x:c>
      <x:c r="E26" s="39" t="str">
        <x:v>Samsung</x:v>
      </x:c>
      <x:c r="F26" s="39" t="str">
        <x:v>CL21B224KCFSFNE</x:v>
      </x:c>
      <x:c r="G26" s="39" t="str">
        <x:v>C307542</x:v>
      </x:c>
      <x:c r="H26" s="39" t="str">
        <x:v>0805</x:v>
      </x:c>
      <x:c r="I26" s="40" t="n">
        <x:v>0</x:v>
      </x:c>
      <x:c r="J26" s="40" t="n">
        <x:v>4</x:v>
      </x:c>
      <x:c r="K26" s="40" t="n">
        <x:f>'Current Sizing'!$B$10</x:f>
        <x:v>4</x:v>
      </x:c>
      <x:c r="L26" s="40" t="n">
        <x:f>I26+(J26*K26)</x:f>
        <x:v>16</x:v>
      </x:c>
      <x:c r="M26" s="40" t="n">
        <x:v>0</x:v>
      </x:c>
      <x:c r="N26" s="39" t="str">
        <x:v>220 nF, 100 V, X7R</x:v>
      </x:c>
      <x:c r="O26" s="39" t="str">
        <x:v>Listed; recheck</x:v>
      </x:c>
      <x:c r="P26" s="39" t="str">
        <x:v>SMT</x:v>
      </x:c>
      <x:c r="Q26" s="39" t="str">
        <x:v>One VM bypass plus three bootstrap capacitors; place in minimum loops and check DC bias</x:v>
      </x:c>
      <x:c r="R26" s="39" t="str">
        <x:v>https://www.lcsc.com/product-detail/C307542.html</x:v>
      </x:c>
      <x:c r="S26" s="39" t="str">
        <x:v>https://product.samsungsem.com/mlcc/</x:v>
      </x:c>
    </x:row>
    <x:row r="27" ht="26.399999618530273" hidden="0" customHeight="1">
      <x:c r="A27" s="39" t="n">
        <x:v>22</x:v>
      </x:c>
      <x:c r="B27" s="39" t="str">
        <x:v>Selected</x:v>
      </x:c>
      <x:c r="C27" s="39" t="str">
        <x:v>ST node support</x:v>
      </x:c>
      <x:c r="D27" s="39" t="str">
        <x:v>Bus/NTC timing capacitor</x:v>
      </x:c>
      <x:c r="E27" s="39" t="str">
        <x:v>Samsung</x:v>
      </x:c>
      <x:c r="F27" s="39" t="str">
        <x:v>CL05B333KB5VPNC</x:v>
      </x:c>
      <x:c r="G27" s="39" t="str">
        <x:v>C472437</x:v>
      </x:c>
      <x:c r="H27" s="39" t="str">
        <x:v>0402</x:v>
      </x:c>
      <x:c r="I27" s="40" t="n">
        <x:v>0</x:v>
      </x:c>
      <x:c r="J27" s="40" t="n">
        <x:v>2</x:v>
      </x:c>
      <x:c r="K27" s="40" t="n">
        <x:f>'Current Sizing'!$B$10</x:f>
        <x:v>4</x:v>
      </x:c>
      <x:c r="L27" s="40" t="n">
        <x:f>I27+(J27*K27)</x:f>
        <x:v>8</x:v>
      </x:c>
      <x:c r="M27" s="40" t="n">
        <x:v>0</x:v>
      </x:c>
      <x:c r="N27" s="39" t="str">
        <x:v>33 nF, 50 V, X7R</x:v>
      </x:c>
      <x:c r="O27" s="39" t="str">
        <x:v>High stock seen; recheck</x:v>
      </x:c>
      <x:c r="P27" s="39" t="str">
        <x:v>SMT</x:v>
      </x:c>
      <x:c r="Q27" s="39" t="str">
        <x:v>ST typical CBUS and CNTC; confirm functions against final pin configuration</x:v>
      </x:c>
      <x:c r="R27" s="39" t="str">
        <x:v>https://www.lcsc.com/product-detail/C472437.html</x:v>
      </x:c>
      <x:c r="S27" s="39" t="str">
        <x:v>https://product.samsungsem.com/mlcc/</x:v>
      </x:c>
    </x:row>
    <x:row r="28" ht="26.399999618530273" hidden="0" customHeight="1">
      <x:c r="A28" s="39" t="n">
        <x:v>23</x:v>
      </x:c>
      <x:c r="B28" s="39" t="str">
        <x:v>Selected</x:v>
      </x:c>
      <x:c r="C28" s="39" t="str">
        <x:v>ST node support</x:v>
      </x:c>
      <x:c r="D28" s="39" t="str">
        <x:v>24 MHz HSE crystal</x:v>
      </x:c>
      <x:c r="E28" s="39" t="str">
        <x:v>Abracon</x:v>
      </x:c>
      <x:c r="F28" s="39" t="str">
        <x:v>ABM8W-24.0000MHZ-7-D1X-T3</x:v>
      </x:c>
      <x:c r="G28" s="39" t="str">
        <x:v>C1986867</x:v>
      </x:c>
      <x:c r="H28" s="39" t="str">
        <x:v>3225 SMD</x:v>
      </x:c>
      <x:c r="I28" s="40" t="n">
        <x:v>0</x:v>
      </x:c>
      <x:c r="J28" s="40" t="n">
        <x:v>1</x:v>
      </x:c>
      <x:c r="K28" s="40" t="n">
        <x:f>'Current Sizing'!$B$10</x:f>
        <x:v>4</x:v>
      </x:c>
      <x:c r="L28" s="40" t="n">
        <x:f>I28+(J28*K28)</x:f>
        <x:v>4</x:v>
      </x:c>
      <x:c r="M28" s="40" t="n">
        <x:v>0</x:v>
      </x:c>
      <x:c r="N28" s="39" t="str">
        <x:v>24 MHz; 7 pF load; 50 Ω max ESR</x:v>
      </x:c>
      <x:c r="O28" s="39" t="str">
        <x:v>~31 seen; recheck or approve alternate</x:v>
      </x:c>
      <x:c r="P28" s="39" t="str">
        <x:v>SMT</x:v>
      </x:c>
      <x:c r="Q28" s="39" t="str">
        <x:v>Reference-compatible electrical candidate; validate load, drive level and availability before release</x:v>
      </x:c>
      <x:c r="R28" s="39" t="str">
        <x:v>https://www.lcsc.com/product-detail/C1986867.html</x:v>
      </x:c>
      <x:c r="S28" s="39" t="str">
        <x:v>https://abracon.com/Resonators/ABM8W.pdf</x:v>
      </x:c>
    </x:row>
    <x:row r="29" ht="26.399999618530273" hidden="0" customHeight="1">
      <x:c r="A29" s="39" t="n">
        <x:v>24</x:v>
      </x:c>
      <x:c r="B29" s="39" t="str">
        <x:v>Selected</x:v>
      </x:c>
      <x:c r="C29" s="39" t="str">
        <x:v>ST node support</x:v>
      </x:c>
      <x:c r="D29" s="39" t="str">
        <x:v>HSE load capacitor</x:v>
      </x:c>
      <x:c r="E29" s="39" t="str">
        <x:v>Samsung</x:v>
      </x:c>
      <x:c r="F29" s="39" t="str">
        <x:v>CL05C6R8CB5NNNC</x:v>
      </x:c>
      <x:c r="G29" s="39" t="str">
        <x:v>C318598</x:v>
      </x:c>
      <x:c r="H29" s="39" t="str">
        <x:v>0402</x:v>
      </x:c>
      <x:c r="I29" s="40" t="n">
        <x:v>0</x:v>
      </x:c>
      <x:c r="J29" s="40" t="n">
        <x:v>2</x:v>
      </x:c>
      <x:c r="K29" s="40" t="n">
        <x:f>'Current Sizing'!$B$10</x:f>
        <x:v>4</x:v>
      </x:c>
      <x:c r="L29" s="40" t="n">
        <x:f>I29+(J29*K29)</x:f>
        <x:v>8</x:v>
      </x:c>
      <x:c r="M29" s="40" t="n">
        <x:v>0</x:v>
      </x:c>
      <x:c r="N29" s="39" t="str">
        <x:v>6.8 pF, 50 V, C0G</x:v>
      </x:c>
      <x:c r="O29" s="39" t="str">
        <x:v>High stock seen; recheck</x:v>
      </x:c>
      <x:c r="P29" s="39" t="str">
        <x:v>SMT</x:v>
      </x:c>
      <x:c r="Q29" s="39" t="str">
        <x:v>Starting value only; recalculate with crystal, pin and layout stray capacitance</x:v>
      </x:c>
      <x:c r="R29" s="39" t="str">
        <x:v>https://www.lcsc.com/product-detail/C318598.html</x:v>
      </x:c>
      <x:c r="S29" s="39" t="str">
        <x:v>https://product.samsungsem.com/mlcc/</x:v>
      </x:c>
    </x:row>
    <x:row r="30" ht="26.399999618530273" hidden="0" customHeight="1">
      <x:c r="A30" s="39" t="n">
        <x:v>25</x:v>
      </x:c>
      <x:c r="B30" s="39" t="str">
        <x:v>Selected</x:v>
      </x:c>
      <x:c r="C30" s="39" t="str">
        <x:v>ST node support</x:v>
      </x:c>
      <x:c r="D30" s="39" t="str">
        <x:v>Reset pull-up resistor</x:v>
      </x:c>
      <x:c r="E30" s="39" t="str">
        <x:v>Yageo</x:v>
      </x:c>
      <x:c r="F30" s="39" t="str">
        <x:v>RC0402FR-07100KL</x:v>
      </x:c>
      <x:c r="G30" s="39" t="str">
        <x:v>C60491</x:v>
      </x:c>
      <x:c r="H30" s="39" t="str">
        <x:v>0402</x:v>
      </x:c>
      <x:c r="I30" s="40" t="n">
        <x:v>0</x:v>
      </x:c>
      <x:c r="J30" s="40" t="n">
        <x:v>1</x:v>
      </x:c>
      <x:c r="K30" s="40" t="n">
        <x:f>'Current Sizing'!$B$10</x:f>
        <x:v>4</x:v>
      </x:c>
      <x:c r="L30" s="40" t="n">
        <x:f>I30+(J30*K30)</x:f>
        <x:v>4</x:v>
      </x:c>
      <x:c r="M30" s="40" t="n">
        <x:v>0</x:v>
      </x:c>
      <x:c r="N30" s="39" t="str">
        <x:v>100 kΩ, 1%</x:v>
      </x:c>
      <x:c r="O30" s="39" t="str">
        <x:v>High stock seen; recheck</x:v>
      </x:c>
      <x:c r="P30" s="39" t="str">
        <x:v>SMT</x:v>
      </x:c>
      <x:c r="Q30" s="39" t="str">
        <x:v>ST typical reset network; external safety sink must dominate and keep NRST low until permit</x:v>
      </x:c>
      <x:c r="R30" s="39" t="str">
        <x:v>https://www.lcsc.com/product-detail/C60491.html</x:v>
      </x:c>
      <x:c r="S30" s="39" t="str">
        <x:v>https://www.yageo.com/upload/media/product/productsearch/datasheet/rchip/PYu-RC_Group_51_RoHS_L_13.pdf</x:v>
      </x:c>
    </x:row>
    <x:row r="31" ht="26.399999618530273" hidden="0" customHeight="1">
      <x:c r="A31" s="39" t="n">
        <x:v>26</x:v>
      </x:c>
      <x:c r="B31" s="39" t="str">
        <x:v>Provisional</x:v>
      </x:c>
      <x:c r="C31" s="39" t="str">
        <x:v>ST node support</x:v>
      </x:c>
      <x:c r="D31" s="39" t="str">
        <x:v>Phase/bus ADC clamp diode</x:v>
      </x:c>
      <x:c r="E31" s="39" t="str">
        <x:v>STMicroelectronics</x:v>
      </x:c>
      <x:c r="F31" s="39" t="str">
        <x:v>BAT30KFILM</x:v>
      </x:c>
      <x:c r="G31" s="39" t="str">
        <x:v>C2926449</x:v>
      </x:c>
      <x:c r="H31" s="39" t="str">
        <x:v>SOD-523</x:v>
      </x:c>
      <x:c r="I31" s="40" t="n">
        <x:v>0</x:v>
      </x:c>
      <x:c r="J31" s="40" t="n">
        <x:v>7</x:v>
      </x:c>
      <x:c r="K31" s="40" t="n">
        <x:f>'Current Sizing'!$B$10</x:f>
        <x:v>4</x:v>
      </x:c>
      <x:c r="L31" s="40" t="n">
        <x:f>I31+(J31*K31)</x:f>
        <x:v>28</x:v>
      </x:c>
      <x:c r="M31" s="40" t="n">
        <x:v>0</x:v>
      </x:c>
      <x:c r="N31" s="39" t="str">
        <x:v>30 V Schottky; low-capacitance clamp candidate</x:v>
      </x:c>
      <x:c r="O31" s="39" t="str">
        <x:v>Thousands seen; recheck</x:v>
      </x:c>
      <x:c r="P31" s="39" t="str">
        <x:v>SMT</x:v>
      </x:c>
      <x:c r="Q31" s="39" t="str">
        <x:v>Reference-design candidate; exact count and clamp arrangement require schematic review</x:v>
      </x:c>
      <x:c r="R31" s="39" t="str">
        <x:v>https://www.lcsc.com/product-detail/C2926449.html</x:v>
      </x:c>
      <x:c r="S31" s="39" t="str">
        <x:v>https://www.st.com/resource/en/datasheet/bat30.pdf</x:v>
      </x:c>
    </x:row>
    <x:row r="32" ht="26.399999618530273" hidden="0" customHeight="1">
      <x:c r="A32" s="39" t="n">
        <x:v>27</x:v>
      </x:c>
      <x:c r="B32" s="39" t="str">
        <x:v>Provisional</x:v>
      </x:c>
      <x:c r="C32" s="39" t="str">
        <x:v>Current sense</x:v>
      </x:c>
      <x:c r="D32" s="39" t="str">
        <x:v>FOC amplifier input resistor</x:v>
      </x:c>
      <x:c r="E32" s="39" t="str">
        <x:v>Bourns</x:v>
      </x:c>
      <x:c r="F32" s="39" t="str">
        <x:v>CR0402-FX-1501GLF</x:v>
      </x:c>
      <x:c r="G32" s="39" t="str">
        <x:v>C2077086</x:v>
      </x:c>
      <x:c r="H32" s="39" t="str">
        <x:v>0402</x:v>
      </x:c>
      <x:c r="I32" s="40" t="n">
        <x:v>0</x:v>
      </x:c>
      <x:c r="J32" s="40" t="n">
        <x:v>6</x:v>
      </x:c>
      <x:c r="K32" s="40" t="n">
        <x:f>'Current Sizing'!$B$10</x:f>
        <x:v>4</x:v>
      </x:c>
      <x:c r="L32" s="40" t="n">
        <x:f>I32+(J32*K32)</x:f>
        <x:v>24</x:v>
      </x:c>
      <x:c r="M32" s="40" t="n">
        <x:v>0</x:v>
      </x:c>
      <x:c r="N32" s="39" t="str">
        <x:v>1.5 kΩ, 1%</x:v>
      </x:c>
      <x:c r="O32" s="39" t="str">
        <x:v>Listed; recheck</x:v>
      </x:c>
      <x:c r="P32" s="39" t="str">
        <x:v>SMT</x:v>
      </x:c>
      <x:c r="Q32" s="39" t="str">
        <x:v>ST reference value only; recalculate gain/filter for 0.5 mΩ phase shunts</x:v>
      </x:c>
      <x:c r="R32" s="39" t="str">
        <x:v>https://www.lcsc.com/product-detail/C2077086.html</x:v>
      </x:c>
      <x:c r="S32" s="39" t="str">
        <x:v>https://www.bourns.com/docs/product-datasheets/cr.pdf</x:v>
      </x:c>
    </x:row>
    <x:row r="33" ht="26.399999618530273" hidden="0" customHeight="1">
      <x:c r="A33" s="39" t="n">
        <x:v>28</x:v>
      </x:c>
      <x:c r="B33" s="39" t="str">
        <x:v>Provisional</x:v>
      </x:c>
      <x:c r="C33" s="39" t="str">
        <x:v>Current sense</x:v>
      </x:c>
      <x:c r="D33" s="39" t="str">
        <x:v>FOC amplifier feedback/filter resistor</x:v>
      </x:c>
      <x:c r="E33" s="39" t="str">
        <x:v>Yageo</x:v>
      </x:c>
      <x:c r="F33" s="39" t="str">
        <x:v>RC0402FR-0722KL</x:v>
      </x:c>
      <x:c r="G33" s="39" t="str">
        <x:v>C82868</x:v>
      </x:c>
      <x:c r="H33" s="39" t="str">
        <x:v>0402</x:v>
      </x:c>
      <x:c r="I33" s="40" t="n">
        <x:v>0</x:v>
      </x:c>
      <x:c r="J33" s="40" t="n">
        <x:v>7</x:v>
      </x:c>
      <x:c r="K33" s="40" t="n">
        <x:f>'Current Sizing'!$B$10</x:f>
        <x:v>4</x:v>
      </x:c>
      <x:c r="L33" s="40" t="n">
        <x:f>I33+(J33*K33)</x:f>
        <x:v>28</x:v>
      </x:c>
      <x:c r="M33" s="40" t="n">
        <x:v>0</x:v>
      </x:c>
      <x:c r="N33" s="39" t="str">
        <x:v>22 kΩ, 1%</x:v>
      </x:c>
      <x:c r="O33" s="39" t="str">
        <x:v>Listed; recheck</x:v>
      </x:c>
      <x:c r="P33" s="39" t="str">
        <x:v>SMT</x:v>
      </x:c>
      <x:c r="Q33" s="39" t="str">
        <x:v>ST reference value only; exact count and gain/filter response require final schematic analysis</x:v>
      </x:c>
      <x:c r="R33" s="39" t="str">
        <x:v>https://www.lcsc.com/product-detail/C82868.html</x:v>
      </x:c>
      <x:c r="S33" s="39" t="str">
        <x:v>https://www.yageo.com/upload/media/product/productsearch/datasheet/rchip/PYu-RC_Group_51_RoHS_L_13.pdf</x:v>
      </x:c>
    </x:row>
    <x:row r="34" ht="26.399999618530273" hidden="0" customHeight="1">
      <x:c r="A34" s="39" t="n">
        <x:v>29</x:v>
      </x:c>
      <x:c r="B34" s="39" t="str">
        <x:v>Provisional</x:v>
      </x:c>
      <x:c r="C34" s="39" t="str">
        <x:v>Current sense</x:v>
      </x:c>
      <x:c r="D34" s="39" t="str">
        <x:v>FOC amplifier reference resistor</x:v>
      </x:c>
      <x:c r="E34" s="39" t="str">
        <x:v>Stackpole</x:v>
      </x:c>
      <x:c r="F34" s="39" t="str">
        <x:v>RMCF0402FT11K0</x:v>
      </x:c>
      <x:c r="G34" s="39" t="str">
        <x:v>C2484254</x:v>
      </x:c>
      <x:c r="H34" s="39" t="str">
        <x:v>0402</x:v>
      </x:c>
      <x:c r="I34" s="40" t="n">
        <x:v>0</x:v>
      </x:c>
      <x:c r="J34" s="40" t="n">
        <x:v>3</x:v>
      </x:c>
      <x:c r="K34" s="40" t="n">
        <x:f>'Current Sizing'!$B$10</x:f>
        <x:v>4</x:v>
      </x:c>
      <x:c r="L34" s="40" t="n">
        <x:f>I34+(J34*K34)</x:f>
        <x:v>12</x:v>
      </x:c>
      <x:c r="M34" s="40" t="n">
        <x:v>0</x:v>
      </x:c>
      <x:c r="N34" s="39" t="str">
        <x:v>11 kΩ, 1%</x:v>
      </x:c>
      <x:c r="O34" s="39" t="str">
        <x:v>Listed; recheck</x:v>
      </x:c>
      <x:c r="P34" s="39" t="str">
        <x:v>SMT</x:v>
      </x:c>
      <x:c r="Q34" s="39" t="str">
        <x:v>ST reference value only; recalculate midpoint and comparator headroom</x:v>
      </x:c>
      <x:c r="R34" s="39" t="str">
        <x:v>https://www.lcsc.com/product-detail/C2484254.html</x:v>
      </x:c>
      <x:c r="S34" s="39" t="str">
        <x:v>https://www.seielect.com/catalog/sei-rmcf_rmcp.pdf</x:v>
      </x:c>
    </x:row>
    <x:row r="35" ht="26.399999618530273" hidden="0" customHeight="1">
      <x:c r="A35" s="39" t="n">
        <x:v>30</x:v>
      </x:c>
      <x:c r="B35" s="39" t="str">
        <x:v>Provisional</x:v>
      </x:c>
      <x:c r="C35" s="39" t="str">
        <x:v>DC link</x:v>
      </x:c>
      <x:c r="D35" s="39" t="str">
        <x:v>Low-ESR bulk capacitor</x:v>
      </x:c>
      <x:c r="E35" s="39" t="str">
        <x:v>Panasonic</x:v>
      </x:c>
      <x:c r="F35" s="39" t="str">
        <x:v>EEUFR1J471</x:v>
      </x:c>
      <x:c r="G35" s="39" t="str">
        <x:v>C407954</x:v>
      </x:c>
      <x:c r="H35" s="39" t="str">
        <x:v>Radial 10×20 mm</x:v>
      </x:c>
      <x:c r="I35" s="40" t="n">
        <x:v>0</x:v>
      </x:c>
      <x:c r="J35" s="40" t="n">
        <x:v>4</x:v>
      </x:c>
      <x:c r="K35" s="40" t="n">
        <x:f>'Current Sizing'!$B$10</x:f>
        <x:v>4</x:v>
      </x:c>
      <x:c r="L35" s="40" t="n">
        <x:f>I35+(J35*K35)</x:f>
        <x:v>16</x:v>
      </x:c>
      <x:c r="M35" s="40" t="n">
        <x:v>16</x:v>
      </x:c>
      <x:c r="N35" s="39" t="str">
        <x:v>470 µF, 63 V, 105 °C</x:v>
      </x:c>
      <x:c r="O35" s="39" t="str">
        <x:v>Listed; recheck</x:v>
      </x:c>
      <x:c r="P35" s="39" t="str">
        <x:v>THT/manual</x:v>
      </x:c>
      <x:c r="Q35" s="39" t="str">
        <x:v>Four fitted + four optional per motor node; ripple/lifetime/vibration analysis</x:v>
      </x:c>
      <x:c r="R35" s="39" t="str">
        <x:v>https://www.lcsc.com/product-detail/C407954.html</x:v>
      </x:c>
      <x:c r="S35" s="39" t="str">
        <x:v>https://industrial.panasonic.com/cdbs/www-data/pdf/RDF0000/ABA0000C1215.pdf</x:v>
      </x:c>
    </x:row>
    <x:row r="36" ht="26.399999618530273" hidden="0" customHeight="1">
      <x:c r="A36" s="39" t="n">
        <x:v>31</x:v>
      </x:c>
      <x:c r="B36" s="39" t="str">
        <x:v>Selected</x:v>
      </x:c>
      <x:c r="C36" s="39" t="str">
        <x:v>DC link</x:v>
      </x:c>
      <x:c r="D36" s="39" t="str">
        <x:v>Local bridge ceramic</x:v>
      </x:c>
      <x:c r="E36" s="39" t="str">
        <x:v>Samsung</x:v>
      </x:c>
      <x:c r="F36" s="39" t="str">
        <x:v>CL32B105KCJNNNE</x:v>
      </x:c>
      <x:c r="G36" s="39" t="str">
        <x:v>C444847</x:v>
      </x:c>
      <x:c r="H36" s="39" t="str">
        <x:v>1210</x:v>
      </x:c>
      <x:c r="I36" s="40" t="n">
        <x:v>0</x:v>
      </x:c>
      <x:c r="J36" s="40" t="n">
        <x:v>4</x:v>
      </x:c>
      <x:c r="K36" s="40" t="n">
        <x:f>'Current Sizing'!$B$10</x:f>
        <x:v>4</x:v>
      </x:c>
      <x:c r="L36" s="40" t="n">
        <x:f>I36+(J36*K36)</x:f>
        <x:v>16</x:v>
      </x:c>
      <x:c r="M36" s="40" t="n">
        <x:v>0</x:v>
      </x:c>
      <x:c r="N36" s="39" t="str">
        <x:v>1 µF, 100 V, X7R</x:v>
      </x:c>
      <x:c r="O36" s="39" t="str">
        <x:v>Listed; recheck</x:v>
      </x:c>
      <x:c r="P36" s="39" t="str">
        <x:v>SMT</x:v>
      </x:c>
      <x:c r="Q36" s="39" t="str">
        <x:v>Minimum commutation loop; confirm effective capacitance</x:v>
      </x:c>
      <x:c r="R36" s="39" t="str">
        <x:v>https://www.lcsc.com/product-detail/C444847.html</x:v>
      </x:c>
      <x:c r="S36" s="39" t="str">
        <x:v>https://product.samsungsem.com/mlcc/CL32B105KCJNNNE.do</x:v>
      </x:c>
    </x:row>
    <x:row r="37" ht="26.399999618530273" hidden="0" customHeight="1">
      <x:c r="A37" s="39" t="n">
        <x:v>32</x:v>
      </x:c>
      <x:c r="B37" s="39" t="str">
        <x:v>Provisional</x:v>
      </x:c>
      <x:c r="C37" s="39" t="str">
        <x:v>Protection</x:v>
      </x:c>
      <x:c r="D37" s="39" t="str">
        <x:v>Local DC-link TVS</x:v>
      </x:c>
      <x:c r="E37" s="39" t="str">
        <x:v>Littelfuse</x:v>
      </x:c>
      <x:c r="F37" s="39" t="str">
        <x:v>SM8S30A</x:v>
      </x:c>
      <x:c r="G37" s="39" t="str">
        <x:v>C41991001</x:v>
      </x:c>
      <x:c r="H37" s="39" t="str">
        <x:v>DO-218AB</x:v>
      </x:c>
      <x:c r="I37" s="40" t="n">
        <x:v>0</x:v>
      </x:c>
      <x:c r="J37" s="40" t="n">
        <x:v>1</x:v>
      </x:c>
      <x:c r="K37" s="40" t="n">
        <x:f>'Current Sizing'!$B$10</x:f>
        <x:v>4</x:v>
      </x:c>
      <x:c r="L37" s="40" t="n">
        <x:f>I37+(J37*K37)</x:f>
        <x:v>4</x:v>
      </x:c>
      <x:c r="M37" s="40" t="n">
        <x:v>0</x:v>
      </x:c>
      <x:c r="N37" s="39" t="str">
        <x:v>30 V standoff; high-power automotive TVS</x:v>
      </x:c>
      <x:c r="O37" s="39" t="str">
        <x:v>Listed; recheck</x:v>
      </x:c>
      <x:c r="P37" s="39" t="str">
        <x:v>SMT/manual thermal</x:v>
      </x:c>
      <x:c r="Q37" s="39" t="str">
        <x:v>Transient clamp only; validate measured clamp/energy at 6S</x:v>
      </x:c>
      <x:c r="R37" s="39" t="str">
        <x:v>https://www.lcsc.com/product-detail/C41991001.html</x:v>
      </x:c>
      <x:c r="S37" s="39" t="str">
        <x:v>https://www.littelfuse.com/assetdocs/tvs-diode-sm8s-datasheet?assetguid=59636cd8-2d53-4eb3-b51b-1f5d4bf30c3e</x:v>
      </x:c>
    </x:row>
    <x:row r="38" ht="39.599998474121094" hidden="0" customHeight="1">
      <x:c r="A38" s="39" t="n">
        <x:v>33</x:v>
      </x:c>
      <x:c r="B38" s="39" t="str">
        <x:v>Selected</x:v>
      </x:c>
      <x:c r="C38" s="39" t="str">
        <x:v>Thermal</x:v>
      </x:c>
      <x:c r="D38" s="39" t="str">
        <x:v>10 kΩ NTC sensor</x:v>
      </x:c>
      <x:c r="E38" s="39" t="str">
        <x:v>TDK</x:v>
      </x:c>
      <x:c r="F38" s="39" t="str">
        <x:v>NTCGS163JF103FT8</x:v>
      </x:c>
      <x:c r="G38" s="39" t="str">
        <x:v>C22432708</x:v>
      </x:c>
      <x:c r="H38" s="39" t="str">
        <x:v>0603</x:v>
      </x:c>
      <x:c r="I38" s="40" t="n">
        <x:v>0</x:v>
      </x:c>
      <x:c r="J38" s="40" t="n">
        <x:v>2</x:v>
      </x:c>
      <x:c r="K38" s="40" t="n">
        <x:f>'Current Sizing'!$B$10</x:f>
        <x:v>4</x:v>
      </x:c>
      <x:c r="L38" s="40" t="n">
        <x:f>I38+(J38*K38)</x:f>
        <x:v>8</x:v>
      </x:c>
      <x:c r="M38" s="40" t="n">
        <x:v>0</x:v>
      </x:c>
      <x:c r="N38" s="39" t="str">
        <x:v>10 kΩ, 1%</x:v>
      </x:c>
      <x:c r="O38" s="39" t="str">
        <x:v>Listed; recheck</x:v>
      </x:c>
      <x:c r="P38" s="39" t="str">
        <x:v>SMT</x:v>
      </x:c>
      <x:c r="Q38" s="39" t="str">
        <x:v>MOSFET/baseplate and shunt/terminal hot spots</x:v>
      </x:c>
      <x:c r="R38" s="39" t="str">
        <x:v>https://www.lcsc.com/product-detail/C22432708.html</x:v>
      </x:c>
      <x:c r="S38" s="39" t="str">
        <x:v>https://product.tdk.com/system/files/dam/doc/product/sensor/ntc/chip-ntc-thermistor/catalog/ntc_commercial_general_en.pdf</x:v>
      </x:c>
    </x:row>
    <x:row r="39" ht="26.399999618530273" hidden="0" customHeight="1">
      <x:c r="A39" s="39" t="n">
        <x:v>34</x:v>
      </x:c>
      <x:c r="B39" s="39" t="str">
        <x:v>Provisional</x:v>
      </x:c>
      <x:c r="C39" s="39" t="str">
        <x:v>Gate network</x:v>
      </x:c>
      <x:c r="D39" s="39" t="str">
        <x:v>Gate resistor</x:v>
      </x:c>
      <x:c r="E39" s="39" t="str">
        <x:v>Yageo</x:v>
      </x:c>
      <x:c r="F39" s="39" t="str">
        <x:v>RC0402FR-0710RL</x:v>
      </x:c>
      <x:c r="G39" s="39" t="str">
        <x:v>C138066</x:v>
      </x:c>
      <x:c r="H39" s="39" t="str">
        <x:v>0402</x:v>
      </x:c>
      <x:c r="I39" s="40" t="n">
        <x:v>0</x:v>
      </x:c>
      <x:c r="J39" s="40" t="n">
        <x:v>6</x:v>
      </x:c>
      <x:c r="K39" s="40" t="n">
        <x:f>'Current Sizing'!$B$10</x:f>
        <x:v>4</x:v>
      </x:c>
      <x:c r="L39" s="40" t="n">
        <x:f>I39+(J39*K39)</x:f>
        <x:v>24</x:v>
      </x:c>
      <x:c r="M39" s="40" t="n">
        <x:v>0</x:v>
      </x:c>
      <x:c r="N39" s="39" t="str">
        <x:v>10 Ω, 1% starting value</x:v>
      </x:c>
      <x:c r="O39" s="39" t="str">
        <x:v>High stock seen; recheck</x:v>
      </x:c>
      <x:c r="P39" s="39" t="str">
        <x:v>SMT</x:v>
      </x:c>
      <x:c r="Q39" s="39" t="str">
        <x:v>Final value from double-pulse testing</x:v>
      </x:c>
      <x:c r="R39" s="39" t="str">
        <x:v>https://www.lcsc.com/product-detail/C138066.html</x:v>
      </x:c>
      <x:c r="S39" s="39" t="str">
        <x:v>https://www.yageo.com/upload/media/product/productsearch/datasheet/rchip/PYu-RC_Group_51_RoHS_L_13.pdf</x:v>
      </x:c>
    </x:row>
    <x:row r="40" ht="39.599998474121094" hidden="0" customHeight="1">
      <x:c r="A40" s="39" t="n">
        <x:v>35</x:v>
      </x:c>
      <x:c r="B40" s="39" t="str">
        <x:v>Selected</x:v>
      </x:c>
      <x:c r="C40" s="39" t="str">
        <x:v>Passives</x:v>
      </x:c>
      <x:c r="D40" s="39" t="str">
        <x:v>10 kΩ pulls / NTC biases</x:v>
      </x:c>
      <x:c r="E40" s="39" t="str">
        <x:v>Yageo</x:v>
      </x:c>
      <x:c r="F40" s="39" t="str">
        <x:v>RC0402FR-0710KL</x:v>
      </x:c>
      <x:c r="G40" s="39" t="str">
        <x:v>C60490</x:v>
      </x:c>
      <x:c r="H40" s="39" t="str">
        <x:v>0402</x:v>
      </x:c>
      <x:c r="I40" s="40" t="n">
        <x:v>16</x:v>
      </x:c>
      <x:c r="J40" s="40" t="n">
        <x:v>11</x:v>
      </x:c>
      <x:c r="K40" s="40" t="n">
        <x:f>'Current Sizing'!$B$10</x:f>
        <x:v>4</x:v>
      </x:c>
      <x:c r="L40" s="40" t="n">
        <x:f>I40+(J40*K40)</x:f>
        <x:v>60</x:v>
      </x:c>
      <x:c r="M40" s="40" t="n">
        <x:v>0</x:v>
      </x:c>
      <x:c r="N40" s="39" t="str">
        <x:v>10 kΩ, 1%</x:v>
      </x:c>
      <x:c r="O40" s="39" t="str">
        <x:v>High stock seen; recheck</x:v>
      </x:c>
      <x:c r="P40" s="39" t="str">
        <x:v>SMT</x:v>
      </x:c>
      <x:c r="Q40" s="39" t="str">
        <x:v>Per node: six gate-source pull-downs, two NTC biases, command-input default, FG-buffer input default and one passive fail-low NRST bias candidate; the controlled-release topology remains schematic-dependent</x:v>
      </x:c>
      <x:c r="R40" s="39" t="str">
        <x:v>https://www.lcsc.com/product-detail/C60490.html</x:v>
      </x:c>
      <x:c r="S40" s="39" t="str">
        <x:v>https://www.yageo.com/upload/media/product/productsearch/datasheet/rchip/PYu-RC_Group_51_RoHS_L_13.pdf</x:v>
      </x:c>
    </x:row>
    <x:row r="41" ht="26.399999618530273" hidden="0" customHeight="1">
      <x:c r="A41" s="39" t="n">
        <x:v>36</x:v>
      </x:c>
      <x:c r="B41" s="39" t="str">
        <x:v>Selected</x:v>
      </x:c>
      <x:c r="C41" s="39" t="str">
        <x:v>Passives</x:v>
      </x:c>
      <x:c r="D41" s="39" t="str">
        <x:v>5.1 kΩ pull-up / USB CC</x:v>
      </x:c>
      <x:c r="E41" s="39" t="str">
        <x:v>Yageo</x:v>
      </x:c>
      <x:c r="F41" s="39" t="str">
        <x:v>RC0402FR-075K1L</x:v>
      </x:c>
      <x:c r="G41" s="39" t="str">
        <x:v>C105872</x:v>
      </x:c>
      <x:c r="H41" s="39" t="str">
        <x:v>0402</x:v>
      </x:c>
      <x:c r="I41" s="40" t="n">
        <x:v>8</x:v>
      </x:c>
      <x:c r="J41" s="40" t="n">
        <x:v>3</x:v>
      </x:c>
      <x:c r="K41" s="40" t="n">
        <x:f>'Current Sizing'!$B$10</x:f>
        <x:v>4</x:v>
      </x:c>
      <x:c r="L41" s="40" t="n">
        <x:f>I41+(J41*K41)</x:f>
        <x:v>20</x:v>
      </x:c>
      <x:c r="M41" s="40" t="n">
        <x:v>0</x:v>
      </x:c>
      <x:c r="N41" s="39" t="str">
        <x:v>5.1 kΩ, 1%</x:v>
      </x:c>
      <x:c r="O41" s="39" t="str">
        <x:v>High stock seen; recheck</x:v>
      </x:c>
      <x:c r="P41" s="39" t="str">
        <x:v>SMT</x:v>
      </x:c>
      <x:c r="Q41" s="39" t="str">
        <x:v>Central: USB Rd, upstream I2C and thermal-channel I2C; per node: diagnostic I2C pair plus mandatory 3.3 V FG pull-up</x:v>
      </x:c>
      <x:c r="R41" s="39" t="str">
        <x:v>https://www.lcsc.com/product-detail/C105872.html</x:v>
      </x:c>
      <x:c r="S41" s="39" t="str">
        <x:v>https://www.yageo.com/upload/media/product/productsearch/datasheet/rchip/PYu-RC_Group_51_RoHS_L_13.pdf</x:v>
      </x:c>
    </x:row>
    <x:row r="42" ht="26.399999618530273" hidden="0" customHeight="1">
      <x:c r="A42" s="39" t="n">
        <x:v>37</x:v>
      </x:c>
      <x:c r="B42" s="39" t="str">
        <x:v>Selected</x:v>
      </x:c>
      <x:c r="C42" s="39" t="str">
        <x:v>Passives</x:v>
      </x:c>
      <x:c r="D42" s="39" t="str">
        <x:v>22 Ω interface series</x:v>
      </x:c>
      <x:c r="E42" s="39" t="str">
        <x:v>Yageo</x:v>
      </x:c>
      <x:c r="F42" s="39" t="str">
        <x:v>RC0402FR-0722RL</x:v>
      </x:c>
      <x:c r="G42" s="39" t="str">
        <x:v>C114765</x:v>
      </x:c>
      <x:c r="H42" s="39" t="str">
        <x:v>0402</x:v>
      </x:c>
      <x:c r="I42" s="40" t="n">
        <x:v>18</x:v>
      </x:c>
      <x:c r="J42" s="40" t="n">
        <x:v>1</x:v>
      </x:c>
      <x:c r="K42" s="40" t="n">
        <x:f>'Current Sizing'!$B$10</x:f>
        <x:v>4</x:v>
      </x:c>
      <x:c r="L42" s="40" t="n">
        <x:f>I42+(J42*K42)</x:f>
        <x:v>22</x:v>
      </x:c>
      <x:c r="M42" s="40" t="n">
        <x:v>0</x:v>
      </x:c>
      <x:c r="N42" s="39" t="str">
        <x:v>22 Ω, 1%</x:v>
      </x:c>
      <x:c r="O42" s="39" t="str">
        <x:v>High stock seen; recheck</x:v>
      </x:c>
      <x:c r="P42" s="39" t="str">
        <x:v>SMT</x:v>
      </x:c>
      <x:c r="Q42" s="39" t="str">
        <x:v>Central digital interfaces plus one series element per signed motor-command input; verify by schematic SI review</x:v>
      </x:c>
      <x:c r="R42" s="39" t="str">
        <x:v>https://www.lcsc.com/product-detail/C114765.html</x:v>
      </x:c>
      <x:c r="S42" s="39" t="str">
        <x:v>https://www.yageo.com/upload/media/product/productsearch/datasheet/rchip/PYu-RC_Group_51_RoHS_L_13.pdf</x:v>
      </x:c>
    </x:row>
    <x:row r="43" ht="26.399999618530273" hidden="0" customHeight="1">
      <x:c r="A43" s="39" t="n">
        <x:v>38</x:v>
      </x:c>
      <x:c r="B43" s="39" t="str">
        <x:v>Selected</x:v>
      </x:c>
      <x:c r="C43" s="39" t="str">
        <x:v>Passives</x:v>
      </x:c>
      <x:c r="D43" s="39" t="str">
        <x:v>General 100 nF bypass / NTC filters</x:v>
      </x:c>
      <x:c r="E43" s="39" t="str">
        <x:v>Samsung</x:v>
      </x:c>
      <x:c r="F43" s="39" t="str">
        <x:v>CL05B104KB5NNNC</x:v>
      </x:c>
      <x:c r="G43" s="39" t="str">
        <x:v>C960916</x:v>
      </x:c>
      <x:c r="H43" s="39" t="str">
        <x:v>0402</x:v>
      </x:c>
      <x:c r="I43" s="40" t="n">
        <x:v>27</x:v>
      </x:c>
      <x:c r="J43" s="40" t="n">
        <x:v>2</x:v>
      </x:c>
      <x:c r="K43" s="40" t="n">
        <x:f>'Current Sizing'!$B$10</x:f>
        <x:v>4</x:v>
      </x:c>
      <x:c r="L43" s="40" t="n">
        <x:f>I43+(J43*K43)</x:f>
        <x:v>35</x:v>
      </x:c>
      <x:c r="M43" s="40" t="n">
        <x:v>0</x:v>
      </x:c>
      <x:c r="N43" s="39" t="str">
        <x:v>100 nF, 50 V, X7R</x:v>
      </x:c>
      <x:c r="O43" s="39" t="str">
        <x:v>High stock seen; recheck</x:v>
      </x:c>
      <x:c r="P43" s="39" t="str">
        <x:v>SMT</x:v>
      </x:c>
      <x:c r="Q43" s="39" t="str">
        <x:v>Central-device bypass plus one filter per node NTC; ST node's five dedicated local bypass capacitors are counted separately</x:v>
      </x:c>
      <x:c r="R43" s="39" t="str">
        <x:v>https://www.lcsc.com/product-detail/C960916.html</x:v>
      </x:c>
      <x:c r="S43" s="39" t="str">
        <x:v>https://product.samsungsem.com/mlcc/</x:v>
      </x:c>
    </x:row>
    <x:row r="44" ht="26.399999618530273" hidden="0" customHeight="1">
      <x:c r="A44" s="39" t="n">
        <x:v>39</x:v>
      </x:c>
      <x:c r="B44" s="39" t="str">
        <x:v>Selected</x:v>
      </x:c>
      <x:c r="C44" s="39" t="str">
        <x:v>Logic power</x:v>
      </x:c>
      <x:c r="D44" s="39" t="str">
        <x:v>Raw traction to 5 V buck</x:v>
      </x:c>
      <x:c r="E44" s="39" t="str">
        <x:v>Texas Instruments</x:v>
      </x:c>
      <x:c r="F44" s="39" t="str">
        <x:v>TPS54360BDDAR</x:v>
      </x:c>
      <x:c r="G44" s="39" t="str">
        <x:v>C524806</x:v>
      </x:c>
      <x:c r="H44" s="39" t="str">
        <x:v>HSOIC-8 EP</x:v>
      </x:c>
      <x:c r="I44" s="40" t="n">
        <x:v>1</x:v>
      </x:c>
      <x:c r="J44" s="40" t="n">
        <x:v>0</x:v>
      </x:c>
      <x:c r="K44" s="40" t="n">
        <x:f>'Current Sizing'!$B$10</x:f>
        <x:v>4</x:v>
      </x:c>
      <x:c r="L44" s="40" t="n">
        <x:f>I44+(J44*K44)</x:f>
        <x:v>1</x:v>
      </x:c>
      <x:c r="M44" s="40" t="n">
        <x:v>0</x:v>
      </x:c>
      <x:c r="N44" s="39" t="str">
        <x:v>4.5–60 V input, 3.5 A</x:v>
      </x:c>
      <x:c r="O44" s="39" t="str">
        <x:v>Listed; recheck</x:v>
      </x:c>
      <x:c r="P44" s="39" t="str">
        <x:v>SMT</x:v>
      </x:c>
      <x:c r="Q44" s="39" t="str">
        <x:v>Covers 3S–6S; compensation/thermal design required</x:v>
      </x:c>
      <x:c r="R44" s="39" t="str">
        <x:v>https://www.lcsc.com/product-detail/C524806.html</x:v>
      </x:c>
      <x:c r="S44" s="39" t="str">
        <x:v>https://www.ti.com/lit/ds/symlink/tps54360b.pdf</x:v>
      </x:c>
    </x:row>
    <x:row r="45" ht="26.399999618530273" hidden="0" customHeight="1">
      <x:c r="A45" s="39" t="n">
        <x:v>40</x:v>
      </x:c>
      <x:c r="B45" s="39" t="str">
        <x:v>Selected</x:v>
      </x:c>
      <x:c r="C45" s="39" t="str">
        <x:v>Logic power</x:v>
      </x:c>
      <x:c r="D45" s="39" t="str">
        <x:v>5 V buck inductor</x:v>
      </x:c>
      <x:c r="E45" s="39" t="str">
        <x:v>Changjiang Microelectronics</x:v>
      </x:c>
      <x:c r="F45" s="39" t="str">
        <x:v>FXL1040-8R2-M</x:v>
      </x:c>
      <x:c r="G45" s="39" t="str">
        <x:v>C167232</x:v>
      </x:c>
      <x:c r="H45" s="39" t="str">
        <x:v>10×10 mm</x:v>
      </x:c>
      <x:c r="I45" s="40" t="n">
        <x:v>1</x:v>
      </x:c>
      <x:c r="J45" s="40" t="n">
        <x:v>0</x:v>
      </x:c>
      <x:c r="K45" s="40" t="n">
        <x:f>'Current Sizing'!$B$10</x:f>
        <x:v>4</x:v>
      </x:c>
      <x:c r="L45" s="40" t="n">
        <x:f>I45+(J45*K45)</x:f>
        <x:v>1</x:v>
      </x:c>
      <x:c r="M45" s="40" t="n">
        <x:v>0</x:v>
      </x:c>
      <x:c r="N45" s="39" t="str">
        <x:v>8.2 µH</x:v>
      </x:c>
      <x:c r="O45" s="39" t="str">
        <x:v>Listed; recheck</x:v>
      </x:c>
      <x:c r="P45" s="39" t="str">
        <x:v>SMT</x:v>
      </x:c>
      <x:c r="Q45" s="39" t="str">
        <x:v>Verify saturation/ripple/temperature</x:v>
      </x:c>
      <x:c r="R45" s="39" t="str">
        <x:v>https://www.lcsc.com/product-detail/C167232.html</x:v>
      </x:c>
      <x:c r="S45" s="39" t="str">
        <x:v>https://www.lcsc.com/product-detail/C167232.html</x:v>
      </x:c>
    </x:row>
    <x:row r="46" ht="26.399999618530273" hidden="0" customHeight="1">
      <x:c r="A46" s="39" t="n">
        <x:v>41</x:v>
      </x:c>
      <x:c r="B46" s="39" t="str">
        <x:v>Selected</x:v>
      </x:c>
      <x:c r="C46" s="39" t="str">
        <x:v>Logic power</x:v>
      </x:c>
      <x:c r="D46" s="39" t="str">
        <x:v>5 V buck diode</x:v>
      </x:c>
      <x:c r="E46" s="39" t="str">
        <x:v>Diodes Inc.</x:v>
      </x:c>
      <x:c r="F46" s="39" t="str">
        <x:v>B560C-13-F</x:v>
      </x:c>
      <x:c r="G46" s="39" t="str">
        <x:v>C85100</x:v>
      </x:c>
      <x:c r="H46" s="39" t="str">
        <x:v>SMC</x:v>
      </x:c>
      <x:c r="I46" s="40" t="n">
        <x:v>1</x:v>
      </x:c>
      <x:c r="J46" s="40" t="n">
        <x:v>0</x:v>
      </x:c>
      <x:c r="K46" s="40" t="n">
        <x:f>'Current Sizing'!$B$10</x:f>
        <x:v>4</x:v>
      </x:c>
      <x:c r="L46" s="40" t="n">
        <x:f>I46+(J46*K46)</x:f>
        <x:v>1</x:v>
      </x:c>
      <x:c r="M46" s="40" t="n">
        <x:v>0</x:v>
      </x:c>
      <x:c r="N46" s="39" t="str">
        <x:v>60 V, 5 A Schottky</x:v>
      </x:c>
      <x:c r="O46" s="39" t="str">
        <x:v>Listed; recheck</x:v>
      </x:c>
      <x:c r="P46" s="39" t="str">
        <x:v>SMT</x:v>
      </x:c>
      <x:c r="Q46" s="39" t="str">
        <x:v>Check switching loss and thermal rise</x:v>
      </x:c>
      <x:c r="R46" s="39" t="str">
        <x:v>https://www.lcsc.com/product-detail/C85100.html</x:v>
      </x:c>
      <x:c r="S46" s="39" t="str">
        <x:v>https://www.diodes.com/assets/Datasheets/ds13004.pdf</x:v>
      </x:c>
    </x:row>
    <x:row r="47" ht="26.399999618530273" hidden="0" customHeight="1">
      <x:c r="A47" s="39" t="n">
        <x:v>42</x:v>
      </x:c>
      <x:c r="B47" s="39" t="str">
        <x:v>Selected</x:v>
      </x:c>
      <x:c r="C47" s="39" t="str">
        <x:v>Logic power</x:v>
      </x:c>
      <x:c r="D47" s="39" t="str">
        <x:v>5 V buck input capacitor</x:v>
      </x:c>
      <x:c r="E47" s="39" t="str">
        <x:v>Murata</x:v>
      </x:c>
      <x:c r="F47" s="39" t="str">
        <x:v>GRM32ER72A225KA35L</x:v>
      </x:c>
      <x:c r="G47" s="39" t="str">
        <x:v>C86054</x:v>
      </x:c>
      <x:c r="H47" s="39" t="str">
        <x:v>1210</x:v>
      </x:c>
      <x:c r="I47" s="40" t="n">
        <x:v>2</x:v>
      </x:c>
      <x:c r="J47" s="40" t="n">
        <x:v>0</x:v>
      </x:c>
      <x:c r="K47" s="40" t="n">
        <x:f>'Current Sizing'!$B$10</x:f>
        <x:v>4</x:v>
      </x:c>
      <x:c r="L47" s="40" t="n">
        <x:f>I47+(J47*K47)</x:f>
        <x:v>2</x:v>
      </x:c>
      <x:c r="M47" s="40" t="n">
        <x:v>0</x:v>
      </x:c>
      <x:c r="N47" s="39" t="str">
        <x:v>2.2 µF, 100 V, X7R</x:v>
      </x:c>
      <x:c r="O47" s="39" t="str">
        <x:v>Listed; recheck</x:v>
      </x:c>
      <x:c r="P47" s="39" t="str">
        <x:v>SMT</x:v>
      </x:c>
      <x:c r="Q47" s="39" t="str">
        <x:v>TI example quantity; verify effective C and conducted EMI</x:v>
      </x:c>
      <x:c r="R47" s="39" t="str">
        <x:v>https://www.lcsc.com/product-detail/C86054.html</x:v>
      </x:c>
      <x:c r="S47" s="39" t="str">
        <x:v>https://ds.murata.com/simsurfing/mlcc.html?oripartnumbers=%5B%22GRM32ER72A225KA35L%22%5D</x:v>
      </x:c>
    </x:row>
    <x:row r="48" ht="26.399999618530273" hidden="0" customHeight="1">
      <x:c r="A48" s="39" t="n">
        <x:v>43</x:v>
      </x:c>
      <x:c r="B48" s="39" t="str">
        <x:v>Selected</x:v>
      </x:c>
      <x:c r="C48" s="39" t="str">
        <x:v>Logic power</x:v>
      </x:c>
      <x:c r="D48" s="39" t="str">
        <x:v>5 V buck output capacitor</x:v>
      </x:c>
      <x:c r="E48" s="39" t="str">
        <x:v>Taiyo Yuden</x:v>
      </x:c>
      <x:c r="F48" s="39" t="str">
        <x:v>LMK325B7476KM-PR</x:v>
      </x:c>
      <x:c r="G48" s="39" t="str">
        <x:v>C20486249</x:v>
      </x:c>
      <x:c r="H48" s="39" t="str">
        <x:v>1210</x:v>
      </x:c>
      <x:c r="I48" s="40" t="n">
        <x:v>2</x:v>
      </x:c>
      <x:c r="J48" s="40" t="n">
        <x:v>0</x:v>
      </x:c>
      <x:c r="K48" s="40" t="n">
        <x:f>'Current Sizing'!$B$10</x:f>
        <x:v>4</x:v>
      </x:c>
      <x:c r="L48" s="40" t="n">
        <x:f>I48+(J48*K48)</x:f>
        <x:v>2</x:v>
      </x:c>
      <x:c r="M48" s="40" t="n">
        <x:v>0</x:v>
      </x:c>
      <x:c r="N48" s="39" t="str">
        <x:v>47 µF, 10 V</x:v>
      </x:c>
      <x:c r="O48" s="39" t="str">
        <x:v>Listed; recheck</x:v>
      </x:c>
      <x:c r="P48" s="39" t="str">
        <x:v>SMT</x:v>
      </x:c>
      <x:c r="Q48" s="39" t="str">
        <x:v>Loop compensation uses effective capacitance</x:v>
      </x:c>
      <x:c r="R48" s="39" t="str">
        <x:v>https://www.lcsc.com/product-detail/C20486249.html</x:v>
      </x:c>
      <x:c r="S48" s="39" t="str">
        <x:v>https://www.yuden.co.jp/productdata/catalog/en/mlcc_all_e.pdf</x:v>
      </x:c>
    </x:row>
    <x:row r="49" ht="26.399999618530273" hidden="0" customHeight="1">
      <x:c r="A49" s="39" t="n">
        <x:v>44</x:v>
      </x:c>
      <x:c r="B49" s="39" t="str">
        <x:v>Provisional</x:v>
      </x:c>
      <x:c r="C49" s="39" t="str">
        <x:v>Logic power</x:v>
      </x:c>
      <x:c r="D49" s="39" t="str">
        <x:v>5 V buck BOOT capacitor</x:v>
      </x:c>
      <x:c r="E49" s="39" t="str">
        <x:v>Samsung</x:v>
      </x:c>
      <x:c r="F49" s="39" t="str">
        <x:v>CL05B104KB5NNNC</x:v>
      </x:c>
      <x:c r="G49" s="39" t="str">
        <x:v>C960916</x:v>
      </x:c>
      <x:c r="H49" s="39" t="str">
        <x:v>0402</x:v>
      </x:c>
      <x:c r="I49" s="40" t="n">
        <x:v>1</x:v>
      </x:c>
      <x:c r="J49" s="40" t="n">
        <x:v>0</x:v>
      </x:c>
      <x:c r="K49" s="40" t="n">
        <x:f>'Current Sizing'!$B$10</x:f>
        <x:v>4</x:v>
      </x:c>
      <x:c r="L49" s="40" t="n">
        <x:f>I49+(J49*K49)</x:f>
        <x:v>1</x:v>
      </x:c>
      <x:c r="M49" s="40" t="n">
        <x:v>0</x:v>
      </x:c>
      <x:c r="N49" s="39" t="str">
        <x:v>100 nF, 50 V, X7R</x:v>
      </x:c>
      <x:c r="O49" s="39" t="str">
        <x:v>High stock seen; recheck</x:v>
      </x:c>
      <x:c r="P49" s="39" t="str">
        <x:v>SMT</x:v>
      </x:c>
      <x:c r="Q49" s="39" t="str">
        <x:v>TI TPS54360B 5 V example starting value; place at BOOT/SW</x:v>
      </x:c>
      <x:c r="R49" s="39" t="str">
        <x:v>https://www.lcsc.com/product-detail/C960916.html</x:v>
      </x:c>
      <x:c r="S49" s="39" t="str">
        <x:v>https://www.ti.com/lit/ds/symlink/tps54360b.pdf</x:v>
      </x:c>
    </x:row>
    <x:row r="50" ht="26.399999618530273" hidden="0" customHeight="1">
      <x:c r="A50" s="39" t="n">
        <x:v>45</x:v>
      </x:c>
      <x:c r="B50" s="39" t="str">
        <x:v>Provisional</x:v>
      </x:c>
      <x:c r="C50" s="39" t="str">
        <x:v>Logic power</x:v>
      </x:c>
      <x:c r="D50" s="39" t="str">
        <x:v>5 V buck frequency resistor</x:v>
      </x:c>
      <x:c r="E50" s="39" t="str">
        <x:v>Yageo</x:v>
      </x:c>
      <x:c r="F50" s="39" t="str">
        <x:v>RC0402FR-07162KL</x:v>
      </x:c>
      <x:c r="G50" s="39" t="str">
        <x:v>C185462</x:v>
      </x:c>
      <x:c r="H50" s="39" t="str">
        <x:v>0402</x:v>
      </x:c>
      <x:c r="I50" s="40" t="n">
        <x:v>1</x:v>
      </x:c>
      <x:c r="J50" s="40" t="n">
        <x:v>0</x:v>
      </x:c>
      <x:c r="K50" s="40" t="n">
        <x:f>'Current Sizing'!$B$10</x:f>
        <x:v>4</x:v>
      </x:c>
      <x:c r="L50" s="40" t="n">
        <x:f>I50+(J50*K50)</x:f>
        <x:v>1</x:v>
      </x:c>
      <x:c r="M50" s="40" t="n">
        <x:v>0</x:v>
      </x:c>
      <x:c r="N50" s="39" t="str">
        <x:v>162 kΩ, 1%</x:v>
      </x:c>
      <x:c r="O50" s="39" t="str">
        <x:v>Listed; recheck</x:v>
      </x:c>
      <x:c r="P50" s="39" t="str">
        <x:v>SMT</x:v>
      </x:c>
      <x:c r="Q50" s="39" t="str">
        <x:v>TI TPS54360B 600 kHz example starting value; recalculate for final design</x:v>
      </x:c>
      <x:c r="R50" s="39" t="str">
        <x:v>https://www.lcsc.com/product-detail/C185462.html</x:v>
      </x:c>
      <x:c r="S50" s="39" t="str">
        <x:v>https://www.ti.com/lit/ds/symlink/tps54360b.pdf</x:v>
      </x:c>
    </x:row>
    <x:row r="51" ht="26.399999618530273" hidden="0" customHeight="1">
      <x:c r="A51" s="39" t="n">
        <x:v>46</x:v>
      </x:c>
      <x:c r="B51" s="39" t="str">
        <x:v>Provisional</x:v>
      </x:c>
      <x:c r="C51" s="39" t="str">
        <x:v>Logic power</x:v>
      </x:c>
      <x:c r="D51" s="39" t="str">
        <x:v>5 V buck UVLO upper resistor</x:v>
      </x:c>
      <x:c r="E51" s="39" t="str">
        <x:v>Panasonic</x:v>
      </x:c>
      <x:c r="F51" s="39" t="str">
        <x:v>ERJ2RKF5233X</x:v>
      </x:c>
      <x:c r="G51" s="39" t="str">
        <x:v>C416558</x:v>
      </x:c>
      <x:c r="H51" s="39" t="str">
        <x:v>0402</x:v>
      </x:c>
      <x:c r="I51" s="40" t="n">
        <x:v>1</x:v>
      </x:c>
      <x:c r="J51" s="40" t="n">
        <x:v>0</x:v>
      </x:c>
      <x:c r="K51" s="40" t="n">
        <x:f>'Current Sizing'!$B$10</x:f>
        <x:v>4</x:v>
      </x:c>
      <x:c r="L51" s="40" t="n">
        <x:f>I51+(J51*K51)</x:f>
        <x:v>1</x:v>
      </x:c>
      <x:c r="M51" s="40" t="n">
        <x:v>0</x:v>
      </x:c>
      <x:c r="N51" s="39" t="str">
        <x:v>523 kΩ, 1%</x:v>
      </x:c>
      <x:c r="O51" s="39" t="str">
        <x:v>Listed; recheck</x:v>
      </x:c>
      <x:c r="P51" s="39" t="str">
        <x:v>SMT</x:v>
      </x:c>
      <x:c r="Q51" s="39" t="str">
        <x:v>TI example gives about 8.0 V rising/6.25 V falling; prove cold/load 3S margin</x:v>
      </x:c>
      <x:c r="R51" s="39" t="str">
        <x:v>https://www.lcsc.com/product-detail/C416558.html</x:v>
      </x:c>
      <x:c r="S51" s="39" t="str">
        <x:v>https://www.ti.com/lit/ds/symlink/tps54360b.pdf</x:v>
      </x:c>
    </x:row>
    <x:row r="52" ht="26.399999618530273" hidden="0" customHeight="1">
      <x:c r="A52" s="39" t="n">
        <x:v>47</x:v>
      </x:c>
      <x:c r="B52" s="39" t="str">
        <x:v>Provisional</x:v>
      </x:c>
      <x:c r="C52" s="39" t="str">
        <x:v>Logic power</x:v>
      </x:c>
      <x:c r="D52" s="39" t="str">
        <x:v>5 V buck UVLO lower resistor</x:v>
      </x:c>
      <x:c r="E52" s="39" t="str">
        <x:v>UNI-ROYAL</x:v>
      </x:c>
      <x:c r="F52" s="39" t="str">
        <x:v>0402WGF8452TCE</x:v>
      </x:c>
      <x:c r="G52" s="39" t="str">
        <x:v>C26988</x:v>
      </x:c>
      <x:c r="H52" s="39" t="str">
        <x:v>0402</x:v>
      </x:c>
      <x:c r="I52" s="40" t="n">
        <x:v>1</x:v>
      </x:c>
      <x:c r="J52" s="40" t="n">
        <x:v>0</x:v>
      </x:c>
      <x:c r="K52" s="40" t="n">
        <x:f>'Current Sizing'!$B$10</x:f>
        <x:v>4</x:v>
      </x:c>
      <x:c r="L52" s="40" t="n">
        <x:f>I52+(J52*K52)</x:f>
        <x:v>1</x:v>
      </x:c>
      <x:c r="M52" s="40" t="n">
        <x:v>0</x:v>
      </x:c>
      <x:c r="N52" s="39" t="str">
        <x:v>84.5 kΩ, 1%</x:v>
      </x:c>
      <x:c r="O52" s="39" t="str">
        <x:v>Listed; recheck</x:v>
      </x:c>
      <x:c r="P52" s="39" t="str">
        <x:v>SMT</x:v>
      </x:c>
      <x:c r="Q52" s="39" t="str">
        <x:v>TI example starting value; recalculate from selected battery/BMS limits</x:v>
      </x:c>
      <x:c r="R52" s="39" t="str">
        <x:v>https://www.lcsc.com/product-detail/C26988.html</x:v>
      </x:c>
      <x:c r="S52" s="39" t="str">
        <x:v>https://www.ti.com/lit/ds/symlink/tps54360b.pdf</x:v>
      </x:c>
    </x:row>
    <x:row r="53" ht="26.399999618530273" hidden="0" customHeight="1">
      <x:c r="A53" s="39" t="n">
        <x:v>48</x:v>
      </x:c>
      <x:c r="B53" s="39" t="str">
        <x:v>Provisional</x:v>
      </x:c>
      <x:c r="C53" s="39" t="str">
        <x:v>Logic power</x:v>
      </x:c>
      <x:c r="D53" s="39" t="str">
        <x:v>5 V buck feedback upper resistor</x:v>
      </x:c>
      <x:c r="E53" s="39" t="str">
        <x:v>UNI-ROYAL</x:v>
      </x:c>
      <x:c r="F53" s="39" t="str">
        <x:v>0402WGF5362TCE</x:v>
      </x:c>
      <x:c r="G53" s="39" t="str">
        <x:v>C53398</x:v>
      </x:c>
      <x:c r="H53" s="39" t="str">
        <x:v>0402</x:v>
      </x:c>
      <x:c r="I53" s="40" t="n">
        <x:v>1</x:v>
      </x:c>
      <x:c r="J53" s="40" t="n">
        <x:v>0</x:v>
      </x:c>
      <x:c r="K53" s="40" t="n">
        <x:f>'Current Sizing'!$B$10</x:f>
        <x:v>4</x:v>
      </x:c>
      <x:c r="L53" s="40" t="n">
        <x:f>I53+(J53*K53)</x:f>
        <x:v>1</x:v>
      </x:c>
      <x:c r="M53" s="40" t="n">
        <x:v>0</x:v>
      </x:c>
      <x:c r="N53" s="39" t="str">
        <x:v>53.6 kΩ, 1%</x:v>
      </x:c>
      <x:c r="O53" s="39" t="str">
        <x:v>Listed; recheck</x:v>
      </x:c>
      <x:c r="P53" s="39" t="str">
        <x:v>SMT</x:v>
      </x:c>
      <x:c r="Q53" s="39" t="str">
        <x:v>TI example 5 V starting value</x:v>
      </x:c>
      <x:c r="R53" s="39" t="str">
        <x:v>https://www.lcsc.com/product-detail/C53398.html</x:v>
      </x:c>
      <x:c r="S53" s="39" t="str">
        <x:v>https://www.ti.com/lit/ds/symlink/tps54360b.pdf</x:v>
      </x:c>
    </x:row>
    <x:row r="54" ht="26.399999618530273" hidden="0" customHeight="1">
      <x:c r="A54" s="39" t="n">
        <x:v>49</x:v>
      </x:c>
      <x:c r="B54" s="39" t="str">
        <x:v>Provisional</x:v>
      </x:c>
      <x:c r="C54" s="39" t="str">
        <x:v>Logic power</x:v>
      </x:c>
      <x:c r="D54" s="39" t="str">
        <x:v>5 V buck feedback lower resistor</x:v>
      </x:c>
      <x:c r="E54" s="39" t="str">
        <x:v>Yageo</x:v>
      </x:c>
      <x:c r="F54" s="39" t="str">
        <x:v>RC0402FR-0710K2L</x:v>
      </x:c>
      <x:c r="G54" s="39" t="str">
        <x:v>C138069</x:v>
      </x:c>
      <x:c r="H54" s="39" t="str">
        <x:v>0402</x:v>
      </x:c>
      <x:c r="I54" s="40" t="n">
        <x:v>1</x:v>
      </x:c>
      <x:c r="J54" s="40" t="n">
        <x:v>0</x:v>
      </x:c>
      <x:c r="K54" s="40" t="n">
        <x:f>'Current Sizing'!$B$10</x:f>
        <x:v>4</x:v>
      </x:c>
      <x:c r="L54" s="40" t="n">
        <x:f>I54+(J54*K54)</x:f>
        <x:v>1</x:v>
      </x:c>
      <x:c r="M54" s="40" t="n">
        <x:v>0</x:v>
      </x:c>
      <x:c r="N54" s="39" t="str">
        <x:v>10.2 kΩ, 1%</x:v>
      </x:c>
      <x:c r="O54" s="39" t="str">
        <x:v>Listed; recheck</x:v>
      </x:c>
      <x:c r="P54" s="39" t="str">
        <x:v>SMT</x:v>
      </x:c>
      <x:c r="Q54" s="39" t="str">
        <x:v>TI example 5 V starting value</x:v>
      </x:c>
      <x:c r="R54" s="39" t="str">
        <x:v>https://www.lcsc.com/product-detail/C138069.html</x:v>
      </x:c>
      <x:c r="S54" s="39" t="str">
        <x:v>https://www.ti.com/lit/ds/symlink/tps54360b.pdf</x:v>
      </x:c>
    </x:row>
    <x:row r="55" ht="26.399999618530273" hidden="0" customHeight="1">
      <x:c r="A55" s="39" t="n">
        <x:v>50</x:v>
      </x:c>
      <x:c r="B55" s="39" t="str">
        <x:v>Provisional</x:v>
      </x:c>
      <x:c r="C55" s="39" t="str">
        <x:v>Logic power</x:v>
      </x:c>
      <x:c r="D55" s="39" t="str">
        <x:v>5 V buck compensation resistor</x:v>
      </x:c>
      <x:c r="E55" s="39" t="str">
        <x:v>Yageo</x:v>
      </x:c>
      <x:c r="F55" s="39" t="str">
        <x:v>RC0402FR-0713KL</x:v>
      </x:c>
      <x:c r="G55" s="39" t="str">
        <x:v>C138057</x:v>
      </x:c>
      <x:c r="H55" s="39" t="str">
        <x:v>0402</x:v>
      </x:c>
      <x:c r="I55" s="40" t="n">
        <x:v>1</x:v>
      </x:c>
      <x:c r="J55" s="40" t="n">
        <x:v>0</x:v>
      </x:c>
      <x:c r="K55" s="40" t="n">
        <x:f>'Current Sizing'!$B$10</x:f>
        <x:v>4</x:v>
      </x:c>
      <x:c r="L55" s="40" t="n">
        <x:f>I55+(J55*K55)</x:f>
        <x:v>1</x:v>
      </x:c>
      <x:c r="M55" s="40" t="n">
        <x:v>0</x:v>
      </x:c>
      <x:c r="N55" s="39" t="str">
        <x:v>13.0 kΩ, 1%</x:v>
      </x:c>
      <x:c r="O55" s="39" t="str">
        <x:v>Listed; recheck</x:v>
      </x:c>
      <x:c r="P55" s="39" t="str">
        <x:v>SMT</x:v>
      </x:c>
      <x:c r="Q55" s="39" t="str">
        <x:v>TI example starting value; redesign for measured effective capacitance/load</x:v>
      </x:c>
      <x:c r="R55" s="39" t="str">
        <x:v>https://www.lcsc.com/product-detail/C138057.html</x:v>
      </x:c>
      <x:c r="S55" s="39" t="str">
        <x:v>https://www.ti.com/lit/ds/symlink/tps54360b.pdf</x:v>
      </x:c>
    </x:row>
    <x:row r="56" ht="26.399999618530273" hidden="0" customHeight="1">
      <x:c r="A56" s="39" t="n">
        <x:v>51</x:v>
      </x:c>
      <x:c r="B56" s="39" t="str">
        <x:v>Provisional</x:v>
      </x:c>
      <x:c r="C56" s="39" t="str">
        <x:v>Logic power</x:v>
      </x:c>
      <x:c r="D56" s="39" t="str">
        <x:v>5 V buck compensation zero capacitor</x:v>
      </x:c>
      <x:c r="E56" s="39" t="str">
        <x:v>Samsung</x:v>
      </x:c>
      <x:c r="F56" s="39" t="str">
        <x:v>CL05B682KB5NNNC</x:v>
      </x:c>
      <x:c r="G56" s="39" t="str">
        <x:v>C318580</x:v>
      </x:c>
      <x:c r="H56" s="39" t="str">
        <x:v>0402</x:v>
      </x:c>
      <x:c r="I56" s="40" t="n">
        <x:v>1</x:v>
      </x:c>
      <x:c r="J56" s="40" t="n">
        <x:v>0</x:v>
      </x:c>
      <x:c r="K56" s="40" t="n">
        <x:f>'Current Sizing'!$B$10</x:f>
        <x:v>4</x:v>
      </x:c>
      <x:c r="L56" s="40" t="n">
        <x:f>I56+(J56*K56)</x:f>
        <x:v>1</x:v>
      </x:c>
      <x:c r="M56" s="40" t="n">
        <x:v>0</x:v>
      </x:c>
      <x:c r="N56" s="39" t="str">
        <x:v>6.8 nF, 50 V, X7R</x:v>
      </x:c>
      <x:c r="O56" s="39" t="str">
        <x:v>Listed; recheck</x:v>
      </x:c>
      <x:c r="P56" s="39" t="str">
        <x:v>SMT</x:v>
      </x:c>
      <x:c r="Q56" s="39" t="str">
        <x:v>TI example starting value; validate loop and load transient</x:v>
      </x:c>
      <x:c r="R56" s="39" t="str">
        <x:v>https://www.lcsc.com/product-detail/C318580.html</x:v>
      </x:c>
      <x:c r="S56" s="39" t="str">
        <x:v>https://www.ti.com/lit/ds/symlink/tps54360b.pdf</x:v>
      </x:c>
    </x:row>
    <x:row r="57" ht="15" hidden="0" customHeight="1">
      <x:c r="A57" s="39" t="n">
        <x:v>52</x:v>
      </x:c>
      <x:c r="B57" s="39" t="str">
        <x:v>Provisional</x:v>
      </x:c>
      <x:c r="C57" s="39" t="str">
        <x:v>Logic power</x:v>
      </x:c>
      <x:c r="D57" s="39" t="str">
        <x:v>5 V buck compensation pole capacitor</x:v>
      </x:c>
      <x:c r="E57" s="39" t="str">
        <x:v>FH</x:v>
      </x:c>
      <x:c r="F57" s="39" t="str">
        <x:v>0402CG390J500NT</x:v>
      </x:c>
      <x:c r="G57" s="39" t="str">
        <x:v>C1563</x:v>
      </x:c>
      <x:c r="H57" s="39" t="str">
        <x:v>0402</x:v>
      </x:c>
      <x:c r="I57" s="40" t="n">
        <x:v>1</x:v>
      </x:c>
      <x:c r="J57" s="40" t="n">
        <x:v>0</x:v>
      </x:c>
      <x:c r="K57" s="40" t="n">
        <x:f>'Current Sizing'!$B$10</x:f>
        <x:v>4</x:v>
      </x:c>
      <x:c r="L57" s="40" t="n">
        <x:f>I57+(J57*K57)</x:f>
        <x:v>1</x:v>
      </x:c>
      <x:c r="M57" s="40" t="n">
        <x:v>0</x:v>
      </x:c>
      <x:c r="N57" s="39" t="str">
        <x:v>39 pF, 50 V, C0G</x:v>
      </x:c>
      <x:c r="O57" s="39" t="str">
        <x:v>Listed; recheck</x:v>
      </x:c>
      <x:c r="P57" s="39" t="str">
        <x:v>SMT</x:v>
      </x:c>
      <x:c r="Q57" s="39" t="str">
        <x:v>TI example starting value; validate loop and EMI</x:v>
      </x:c>
      <x:c r="R57" s="39" t="str">
        <x:v>https://www.lcsc.com/product-detail/C1563.html</x:v>
      </x:c>
      <x:c r="S57" s="39" t="str">
        <x:v>https://www.ti.com/lit/ds/symlink/tps54360b.pdf</x:v>
      </x:c>
    </x:row>
    <x:row r="58" ht="26.399999618530273" hidden="0" customHeight="1">
      <x:c r="A58" s="39" t="n">
        <x:v>53</x:v>
      </x:c>
      <x:c r="B58" s="39" t="str">
        <x:v>DNP</x:v>
      </x:c>
      <x:c r="C58" s="39" t="str">
        <x:v>Protection</x:v>
      </x:c>
      <x:c r="D58" s="39" t="str">
        <x:v>Logic-buck input TVS footprint</x:v>
      </x:c>
      <x:c r="E58" s="39" t="str">
        <x:v>Littelfuse</x:v>
      </x:c>
      <x:c r="F58" s="39" t="str">
        <x:v>SMBJ30A</x:v>
      </x:c>
      <x:c r="G58" s="39" t="str">
        <x:v>C83851</x:v>
      </x:c>
      <x:c r="H58" s="39" t="str">
        <x:v>SMB</x:v>
      </x:c>
      <x:c r="I58" s="40" t="n">
        <x:v>0</x:v>
      </x:c>
      <x:c r="J58" s="40" t="n">
        <x:v>0</x:v>
      </x:c>
      <x:c r="K58" s="40" t="n">
        <x:f>'Current Sizing'!$B$10</x:f>
        <x:v>4</x:v>
      </x:c>
      <x:c r="L58" s="40" t="n">
        <x:f>I58+(J58*K58)</x:f>
        <x:v>0</x:v>
      </x:c>
      <x:c r="M58" s="40" t="n">
        <x:v>1</x:v>
      </x:c>
      <x:c r="N58" s="39" t="str">
        <x:v>30 V standoff</x:v>
      </x:c>
      <x:c r="O58" s="39" t="str">
        <x:v>Listed; recheck</x:v>
      </x:c>
      <x:c r="P58" s="39" t="str">
        <x:v>SMT</x:v>
      </x:c>
      <x:c r="Q58" s="39" t="str">
        <x:v>Provisional footprint only; select from modeled/measured source impedance and energy; not a brake dump</x:v>
      </x:c>
      <x:c r="R58" s="39" t="str">
        <x:v>https://www.lcsc.com/product-detail/C83851.html</x:v>
      </x:c>
      <x:c r="S58" s="39" t="str">
        <x:v>https://www.littelfuse.com/assetdocs/tvs-diode-smbj-datasheet?assetguid=bed67040-284a-430a-afc1-01414fb9f46a</x:v>
      </x:c>
    </x:row>
    <x:row r="59" ht="26.399999618530273" hidden="0" customHeight="1">
      <x:c r="A59" s="39" t="n">
        <x:v>54</x:v>
      </x:c>
      <x:c r="B59" s="39" t="str">
        <x:v>Selected</x:v>
      </x:c>
      <x:c r="C59" s="39" t="str">
        <x:v>Logic power</x:v>
      </x:c>
      <x:c r="D59" s="39" t="str">
        <x:v>USB / traction 5 V mux</x:v>
      </x:c>
      <x:c r="E59" s="39" t="str">
        <x:v>Texas Instruments</x:v>
      </x:c>
      <x:c r="F59" s="39" t="str">
        <x:v>TPS2121RUXR</x:v>
      </x:c>
      <x:c r="G59" s="39" t="str">
        <x:v>C485916</x:v>
      </x:c>
      <x:c r="H59" s="39" t="str">
        <x:v>VQFN-12</x:v>
      </x:c>
      <x:c r="I59" s="40" t="n">
        <x:v>1</x:v>
      </x:c>
      <x:c r="J59" s="40" t="n">
        <x:v>0</x:v>
      </x:c>
      <x:c r="K59" s="40" t="n">
        <x:f>'Current Sizing'!$B$10</x:f>
        <x:v>4</x:v>
      </x:c>
      <x:c r="L59" s="40" t="n">
        <x:f>I59+(J59*K59)</x:f>
        <x:v>1</x:v>
      </x:c>
      <x:c r="M59" s="40" t="n">
        <x:v>0</x:v>
      </x:c>
      <x:c r="N59" s="39" t="str">
        <x:v>2.7–22 V inputs, 4.5 A</x:v>
      </x:c>
      <x:c r="O59" s="39" t="str">
        <x:v>Listed; recheck</x:v>
      </x:c>
      <x:c r="P59" s="39" t="str">
        <x:v>SMT</x:v>
      </x:c>
      <x:c r="Q59" s="39" t="str">
        <x:v>Only regulated 5 V sources; never raw traction</x:v>
      </x:c>
      <x:c r="R59" s="39" t="str">
        <x:v>https://www.lcsc.com/product-detail/C485916.html</x:v>
      </x:c>
      <x:c r="S59" s="39" t="str">
        <x:v>https://www.ti.com/lit/ds/symlink/tps2121.pdf</x:v>
      </x:c>
    </x:row>
    <x:row r="60" ht="26.399999618530273" hidden="0" customHeight="1">
      <x:c r="A60" s="39" t="n">
        <x:v>55</x:v>
      </x:c>
      <x:c r="B60" s="39" t="str">
        <x:v>Selected</x:v>
      </x:c>
      <x:c r="C60" s="39" t="str">
        <x:v>Logic power</x:v>
      </x:c>
      <x:c r="D60" s="39" t="str">
        <x:v>3.3 V buck</x:v>
      </x:c>
      <x:c r="E60" s="39" t="str">
        <x:v>Texas Instruments</x:v>
      </x:c>
      <x:c r="F60" s="39" t="str">
        <x:v>TPS62132RGTR</x:v>
      </x:c>
      <x:c r="G60" s="39" t="str">
        <x:v>C81563</x:v>
      </x:c>
      <x:c r="H60" s="39" t="str">
        <x:v>VQFN-16</x:v>
      </x:c>
      <x:c r="I60" s="40" t="n">
        <x:v>1</x:v>
      </x:c>
      <x:c r="J60" s="40" t="n">
        <x:v>0</x:v>
      </x:c>
      <x:c r="K60" s="40" t="n">
        <x:f>'Current Sizing'!$B$10</x:f>
        <x:v>4</x:v>
      </x:c>
      <x:c r="L60" s="40" t="n">
        <x:f>I60+(J60*K60)</x:f>
        <x:v>1</x:v>
      </x:c>
      <x:c r="M60" s="40" t="n">
        <x:v>0</x:v>
      </x:c>
      <x:c r="N60" s="39" t="str">
        <x:v>3–17 V input, 3 A fixed 3.3 V</x:v>
      </x:c>
      <x:c r="O60" s="39" t="str">
        <x:v>Listed; recheck</x:v>
      </x:c>
      <x:c r="P60" s="39" t="str">
        <x:v>SMT</x:v>
      </x:c>
      <x:c r="Q60" s="39" t="str">
        <x:v>Power-budget and transient test required</x:v>
      </x:c>
      <x:c r="R60" s="39" t="str">
        <x:v>https://www.lcsc.com/product-detail/C81563.html</x:v>
      </x:c>
      <x:c r="S60" s="39" t="str">
        <x:v>https://www.ti.com/lit/ds/symlink/tps62130.pdf</x:v>
      </x:c>
    </x:row>
    <x:row r="61" ht="26.399999618530273" hidden="0" customHeight="1">
      <x:c r="A61" s="39" t="n">
        <x:v>56</x:v>
      </x:c>
      <x:c r="B61" s="39" t="str">
        <x:v>Selected</x:v>
      </x:c>
      <x:c r="C61" s="39" t="str">
        <x:v>Logic power</x:v>
      </x:c>
      <x:c r="D61" s="39" t="str">
        <x:v>3.3 V buck inductor</x:v>
      </x:c>
      <x:c r="E61" s="39" t="str">
        <x:v>Coilcraft</x:v>
      </x:c>
      <x:c r="F61" s="39" t="str">
        <x:v>XAL4020-222MEC</x:v>
      </x:c>
      <x:c r="G61" s="39" t="str">
        <x:v>C3151182</x:v>
      </x:c>
      <x:c r="H61" s="39" t="str">
        <x:v>4×4 mm</x:v>
      </x:c>
      <x:c r="I61" s="40" t="n">
        <x:v>1</x:v>
      </x:c>
      <x:c r="J61" s="40" t="n">
        <x:v>0</x:v>
      </x:c>
      <x:c r="K61" s="40" t="n">
        <x:f>'Current Sizing'!$B$10</x:f>
        <x:v>4</x:v>
      </x:c>
      <x:c r="L61" s="40" t="n">
        <x:f>I61+(J61*K61)</x:f>
        <x:v>1</x:v>
      </x:c>
      <x:c r="M61" s="40" t="n">
        <x:v>0</x:v>
      </x:c>
      <x:c r="N61" s="39" t="str">
        <x:v>2.2 µH</x:v>
      </x:c>
      <x:c r="O61" s="39" t="str">
        <x:v>Listed; recheck</x:v>
      </x:c>
      <x:c r="P61" s="39" t="str">
        <x:v>SMT</x:v>
      </x:c>
      <x:c r="Q61" s="39" t="str">
        <x:v>Verify saturation/ripple/temperature</x:v>
      </x:c>
      <x:c r="R61" s="39" t="str">
        <x:v>https://www.lcsc.com/product-detail/C3151182.html</x:v>
      </x:c>
      <x:c r="S61" s="39" t="str">
        <x:v>https://www.coilcraft.com/en-us/products/power/shielded-inductors/molded-inductor/xal/xal4020/</x:v>
      </x:c>
    </x:row>
    <x:row r="62" ht="26.399999618530273" hidden="0" customHeight="1">
      <x:c r="A62" s="39" t="n">
        <x:v>57</x:v>
      </x:c>
      <x:c r="B62" s="39" t="str">
        <x:v>Selected</x:v>
      </x:c>
      <x:c r="C62" s="39" t="str">
        <x:v>Logic power</x:v>
      </x:c>
      <x:c r="D62" s="39" t="str">
        <x:v>3.3 V buck input capacitor</x:v>
      </x:c>
      <x:c r="E62" s="39" t="str">
        <x:v>Samsung</x:v>
      </x:c>
      <x:c r="F62" s="39" t="str">
        <x:v>CL21B106KOQNNNE</x:v>
      </x:c>
      <x:c r="G62" s="39" t="str">
        <x:v>C95841</x:v>
      </x:c>
      <x:c r="H62" s="39" t="str">
        <x:v>0805</x:v>
      </x:c>
      <x:c r="I62" s="40" t="n">
        <x:v>2</x:v>
      </x:c>
      <x:c r="J62" s="40" t="n">
        <x:v>0</x:v>
      </x:c>
      <x:c r="K62" s="40" t="n">
        <x:f>'Current Sizing'!$B$10</x:f>
        <x:v>4</x:v>
      </x:c>
      <x:c r="L62" s="40" t="n">
        <x:f>I62+(J62*K62)</x:f>
        <x:v>2</x:v>
      </x:c>
      <x:c r="M62" s="40" t="n">
        <x:v>0</x:v>
      </x:c>
      <x:c r="N62" s="39" t="str">
        <x:v>10 µF, 16 V</x:v>
      </x:c>
      <x:c r="O62" s="39" t="str">
        <x:v>Listed; recheck</x:v>
      </x:c>
      <x:c r="P62" s="39" t="str">
        <x:v>SMT</x:v>
      </x:c>
      <x:c r="Q62" s="39" t="str">
        <x:v>Verify effective C</x:v>
      </x:c>
      <x:c r="R62" s="39" t="str">
        <x:v>https://www.lcsc.com/product-detail/C95841.html</x:v>
      </x:c>
      <x:c r="S62" s="39" t="str">
        <x:v>https://product.samsungsem.com/mlcc/</x:v>
      </x:c>
    </x:row>
    <x:row r="63" ht="26.399999618530273" hidden="0" customHeight="1">
      <x:c r="A63" s="39" t="n">
        <x:v>58</x:v>
      </x:c>
      <x:c r="B63" s="39" t="str">
        <x:v>Selected</x:v>
      </x:c>
      <x:c r="C63" s="39" t="str">
        <x:v>Logic power</x:v>
      </x:c>
      <x:c r="D63" s="39" t="str">
        <x:v>3.3 V buck output capacitor</x:v>
      </x:c>
      <x:c r="E63" s="39" t="str">
        <x:v>Samsung</x:v>
      </x:c>
      <x:c r="F63" s="39" t="str">
        <x:v>CL21A226MPQNNNE</x:v>
      </x:c>
      <x:c r="G63" s="39" t="str">
        <x:v>C29277</x:v>
      </x:c>
      <x:c r="H63" s="39" t="str">
        <x:v>0805</x:v>
      </x:c>
      <x:c r="I63" s="40" t="n">
        <x:v>2</x:v>
      </x:c>
      <x:c r="J63" s="40" t="n">
        <x:v>0</x:v>
      </x:c>
      <x:c r="K63" s="40" t="n">
        <x:f>'Current Sizing'!$B$10</x:f>
        <x:v>4</x:v>
      </x:c>
      <x:c r="L63" s="40" t="n">
        <x:f>I63+(J63*K63)</x:f>
        <x:v>2</x:v>
      </x:c>
      <x:c r="M63" s="40" t="n">
        <x:v>0</x:v>
      </x:c>
      <x:c r="N63" s="39" t="str">
        <x:v>22 µF, 10 V</x:v>
      </x:c>
      <x:c r="O63" s="39" t="str">
        <x:v>Listed; recheck</x:v>
      </x:c>
      <x:c r="P63" s="39" t="str">
        <x:v>SMT</x:v>
      </x:c>
      <x:c r="Q63" s="39" t="str">
        <x:v>Verify effective C and control-loop requirements</x:v>
      </x:c>
      <x:c r="R63" s="39" t="str">
        <x:v>https://www.lcsc.com/product-detail/C29277.html</x:v>
      </x:c>
      <x:c r="S63" s="39" t="str">
        <x:v>https://product.samsungsem.com/mlcc/</x:v>
      </x:c>
    </x:row>
    <x:row r="64" ht="26.399999618530273" hidden="0" customHeight="1">
      <x:c r="A64" s="39" t="n">
        <x:v>59</x:v>
      </x:c>
      <x:c r="B64" s="39" t="str">
        <x:v>Provisional</x:v>
      </x:c>
      <x:c r="C64" s="39" t="str">
        <x:v>Logic power</x:v>
      </x:c>
      <x:c r="D64" s="39" t="str">
        <x:v>3.3 V buck soft-start capacitor</x:v>
      </x:c>
      <x:c r="E64" s="39" t="str">
        <x:v>Yageo</x:v>
      </x:c>
      <x:c r="F64" s="39" t="str">
        <x:v>CC0402KRX7R9BB332</x:v>
      </x:c>
      <x:c r="G64" s="39" t="str">
        <x:v>C107028</x:v>
      </x:c>
      <x:c r="H64" s="39" t="str">
        <x:v>0402</x:v>
      </x:c>
      <x:c r="I64" s="40" t="n">
        <x:v>1</x:v>
      </x:c>
      <x:c r="J64" s="40" t="n">
        <x:v>0</x:v>
      </x:c>
      <x:c r="K64" s="40" t="n">
        <x:f>'Current Sizing'!$B$10</x:f>
        <x:v>4</x:v>
      </x:c>
      <x:c r="L64" s="40" t="n">
        <x:f>I64+(J64*K64)</x:f>
        <x:v>1</x:v>
      </x:c>
      <x:c r="M64" s="40" t="n">
        <x:v>0</x:v>
      </x:c>
      <x:c r="N64" s="39" t="str">
        <x:v>3.3 nF, 50 V, X7R</x:v>
      </x:c>
      <x:c r="O64" s="39" t="str">
        <x:v>High stock seen; recheck</x:v>
      </x:c>
      <x:c r="P64" s="39" t="str">
        <x:v>SMT</x:v>
      </x:c>
      <x:c r="Q64" s="39" t="str">
        <x:v>TI typical starting value; verify required sequencing</x:v>
      </x:c>
      <x:c r="R64" s="39" t="str">
        <x:v>https://www.lcsc.com/product-detail/C107028.html</x:v>
      </x:c>
      <x:c r="S64" s="39" t="str">
        <x:v>https://www.yageo.com/upload/media/product/productsearch/datasheet/mlcc/PYu-CC_16V-to-50V_13.pdf</x:v>
      </x:c>
    </x:row>
    <x:row r="65" ht="26.399999618530273" hidden="0" customHeight="1">
      <x:c r="A65" s="39" t="n">
        <x:v>60</x:v>
      </x:c>
      <x:c r="B65" s="39" t="str">
        <x:v>DNP</x:v>
      </x:c>
      <x:c r="C65" s="39" t="str">
        <x:v>Logic power</x:v>
      </x:c>
      <x:c r="D65" s="39" t="str">
        <x:v>3.3 V buck PG pull-up</x:v>
      </x:c>
      <x:c r="E65" s="39" t="str">
        <x:v>Yageo</x:v>
      </x:c>
      <x:c r="F65" s="39" t="str">
        <x:v>RC0402FR-07100KL</x:v>
      </x:c>
      <x:c r="G65" s="39" t="str">
        <x:v>C60491</x:v>
      </x:c>
      <x:c r="H65" s="39" t="str">
        <x:v>0402</x:v>
      </x:c>
      <x:c r="I65" s="40" t="n">
        <x:v>0</x:v>
      </x:c>
      <x:c r="J65" s="40" t="n">
        <x:v>0</x:v>
      </x:c>
      <x:c r="K65" s="40" t="n">
        <x:f>'Current Sizing'!$B$10</x:f>
        <x:v>4</x:v>
      </x:c>
      <x:c r="L65" s="40" t="n">
        <x:f>I65+(J65*K65)</x:f>
        <x:v>0</x:v>
      </x:c>
      <x:c r="M65" s="40" t="n">
        <x:v>1</x:v>
      </x:c>
      <x:c r="N65" s="39" t="str">
        <x:v>100 kΩ, 1%</x:v>
      </x:c>
      <x:c r="O65" s="39" t="str">
        <x:v>High stock seen; recheck</x:v>
      </x:c>
      <x:c r="P65" s="39" t="str">
        <x:v>SMT</x:v>
      </x:c>
      <x:c r="Q65" s="39" t="str">
        <x:v>Fit only if TPS62132 PG is routed and used</x:v>
      </x:c>
      <x:c r="R65" s="39" t="str">
        <x:v>https://www.lcsc.com/product-detail/C60491.html</x:v>
      </x:c>
      <x:c r="S65" s="39" t="str">
        <x:v>https://www.yageo.com/upload/media/product/productsearch/datasheet/rchip/PYu-RC_Group_51_RoHS_L_13.pdf</x:v>
      </x:c>
    </x:row>
    <x:row r="66" ht="26.399999618530273" hidden="0" customHeight="1">
      <x:c r="A66" s="39" t="n">
        <x:v>61</x:v>
      </x:c>
      <x:c r="B66" s="39" t="str">
        <x:v>Selected</x:v>
      </x:c>
      <x:c r="C66" s="39" t="str">
        <x:v>Quiet rails</x:v>
      </x:c>
      <x:c r="D66" s="39" t="str">
        <x:v>Low-noise 3.3 V LDO</x:v>
      </x:c>
      <x:c r="E66" s="39" t="str">
        <x:v>Texas Instruments</x:v>
      </x:c>
      <x:c r="F66" s="39" t="str">
        <x:v>TPS7A2033PDBVR</x:v>
      </x:c>
      <x:c r="G66" s="39" t="str">
        <x:v>C2862740</x:v>
      </x:c>
      <x:c r="H66" s="39" t="str">
        <x:v>SOT-23-5</x:v>
      </x:c>
      <x:c r="I66" s="40" t="n">
        <x:v>2</x:v>
      </x:c>
      <x:c r="J66" s="40" t="n">
        <x:v>0</x:v>
      </x:c>
      <x:c r="K66" s="40" t="n">
        <x:f>'Current Sizing'!$B$10</x:f>
        <x:v>4</x:v>
      </x:c>
      <x:c r="L66" s="40" t="n">
        <x:f>I66+(J66*K66)</x:f>
        <x:v>2</x:v>
      </x:c>
      <x:c r="M66" s="40" t="n">
        <x:v>0</x:v>
      </x:c>
      <x:c r="N66" s="39" t="str">
        <x:v>300 mA, low noise</x:v>
      </x:c>
      <x:c r="O66" s="39" t="str">
        <x:v>Listed; recheck</x:v>
      </x:c>
      <x:c r="P66" s="39" t="str">
        <x:v>SMT</x:v>
      </x:c>
      <x:c r="Q66" s="39" t="str">
        <x:v>Separate GNSS and IMU branches</x:v>
      </x:c>
      <x:c r="R66" s="39" t="str">
        <x:v>https://www.lcsc.com/product-detail/C2862740.html</x:v>
      </x:c>
      <x:c r="S66" s="39" t="str">
        <x:v>https://www.ti.com/lit/ds/symlink/tps7a20.pdf</x:v>
      </x:c>
    </x:row>
    <x:row r="67" ht="26.399999618530273" hidden="0" customHeight="1">
      <x:c r="A67" s="39" t="n">
        <x:v>62</x:v>
      </x:c>
      <x:c r="B67" s="39" t="str">
        <x:v>Selected</x:v>
      </x:c>
      <x:c r="C67" s="39" t="str">
        <x:v>Safety</x:v>
      </x:c>
      <x:c r="D67" s="39" t="str">
        <x:v>External window watchdog</x:v>
      </x:c>
      <x:c r="E67" s="39" t="str">
        <x:v>Texas Instruments</x:v>
      </x:c>
      <x:c r="F67" s="39" t="str">
        <x:v>TPS3430WDRCR</x:v>
      </x:c>
      <x:c r="G67" s="39" t="str">
        <x:v>C2870545</x:v>
      </x:c>
      <x:c r="H67" s="39" t="str">
        <x:v>VSON-10</x:v>
      </x:c>
      <x:c r="I67" s="40" t="n">
        <x:v>1</x:v>
      </x:c>
      <x:c r="J67" s="40" t="n">
        <x:v>1</x:v>
      </x:c>
      <x:c r="K67" s="40" t="n">
        <x:f>'Current Sizing'!$B$10</x:f>
        <x:v>4</x:v>
      </x:c>
      <x:c r="L67" s="40" t="n">
        <x:f>I67+(J67*K67)</x:f>
        <x:v>5</x:v>
      </x:c>
      <x:c r="M67" s="40" t="n">
        <x:v>0</x:v>
      </x:c>
      <x:c r="N67" s="39" t="str">
        <x:v>Window watchdog; five fitted total</x:v>
      </x:c>
      <x:c r="O67" s="39" t="str">
        <x:v>Listed; recheck</x:v>
      </x:c>
      <x:c r="P67" s="39" t="str">
        <x:v>SMT</x:v>
      </x:c>
      <x:c r="Q67" s="39" t="str">
        <x:v>One central supervisor watchdog plus one per motor node; node timeout asserts local reset and the global fault latch</x:v>
      </x:c>
      <x:c r="R67" s="39" t="str">
        <x:v>https://www.lcsc.com/product-detail/C2870545.html</x:v>
      </x:c>
      <x:c r="S67" s="39" t="str">
        <x:v>https://www.ti.com/lit/ds/symlink/tps3430.pdf</x:v>
      </x:c>
    </x:row>
    <x:row r="68" ht="26.399999618530273" hidden="0" customHeight="1">
      <x:c r="A68" s="39" t="n">
        <x:v>63</x:v>
      </x:c>
      <x:c r="B68" s="39" t="str">
        <x:v>Selected</x:v>
      </x:c>
      <x:c r="C68" s="39" t="str">
        <x:v>Safety</x:v>
      </x:c>
      <x:c r="D68" s="39" t="str">
        <x:v>Fault/permit latch logic</x:v>
      </x:c>
      <x:c r="E68" s="39" t="str">
        <x:v>Texas Instruments</x:v>
      </x:c>
      <x:c r="F68" s="39" t="str">
        <x:v>SN74LVC2G02DCTR</x:v>
      </x:c>
      <x:c r="G68" s="39" t="str">
        <x:v>C94600</x:v>
      </x:c>
      <x:c r="H68" s="39" t="str">
        <x:v>SSOP-8</x:v>
      </x:c>
      <x:c r="I68" s="40" t="n">
        <x:v>1</x:v>
      </x:c>
      <x:c r="J68" s="40" t="n">
        <x:v>0</x:v>
      </x:c>
      <x:c r="K68" s="40" t="n">
        <x:f>'Current Sizing'!$B$10</x:f>
        <x:v>4</x:v>
      </x:c>
      <x:c r="L68" s="40" t="n">
        <x:f>I68+(J68*K68)</x:f>
        <x:v>1</x:v>
      </x:c>
      <x:c r="M68" s="40" t="n">
        <x:v>0</x:v>
      </x:c>
      <x:c r="N68" s="39" t="str">
        <x:v>Dual 2-input NOR</x:v>
      </x:c>
      <x:c r="O68" s="39" t="str">
        <x:v>Listed; recheck</x:v>
      </x:c>
      <x:c r="P68" s="39" t="str">
        <x:v>SMT</x:v>
      </x:c>
      <x:c r="Q68" s="39" t="str">
        <x:v>Truth-table and brownout behavior remain release-gated; this central logic alone does not guarantee fail-low NRST when its rail is absent</x:v>
      </x:c>
      <x:c r="R68" s="39" t="str">
        <x:v>https://www.lcsc.com/product-detail/C94600.html</x:v>
      </x:c>
      <x:c r="S68" s="39" t="str">
        <x:v>https://www.ti.com/lit/ds/symlink/sn74lvc2g02.pdf</x:v>
      </x:c>
    </x:row>
    <x:row r="69" ht="39.599998474121094" hidden="0" customHeight="1">
      <x:c r="A69" s="39" t="n">
        <x:v>64</x:v>
      </x:c>
      <x:c r="B69" s="39" t="str">
        <x:v>Selected</x:v>
      </x:c>
      <x:c r="C69" s="39" t="str">
        <x:v>Speed interface</x:v>
      </x:c>
      <x:c r="D69" s="39" t="str">
        <x:v>Per-node open-drain FG isolation buffer</x:v>
      </x:c>
      <x:c r="E69" s="39" t="str">
        <x:v>Texas Instruments</x:v>
      </x:c>
      <x:c r="F69" s="39" t="str">
        <x:v>SN74LVC1G07DBVR</x:v>
      </x:c>
      <x:c r="G69" s="39" t="str">
        <x:v>C7829</x:v>
      </x:c>
      <x:c r="H69" s="39" t="str">
        <x:v>SOT-23-5</x:v>
      </x:c>
      <x:c r="I69" s="40" t="n">
        <x:v>0</x:v>
      </x:c>
      <x:c r="J69" s="40" t="n">
        <x:v>1</x:v>
      </x:c>
      <x:c r="K69" s="40" t="n">
        <x:f>'Current Sizing'!$B$10</x:f>
        <x:v>4</x:v>
      </x:c>
      <x:c r="L69" s="40" t="n">
        <x:f>I69+(J69*K69)</x:f>
        <x:v>4</x:v>
      </x:c>
      <x:c r="M69" s="40" t="n">
        <x:v>0</x:v>
      </x:c>
      <x:c r="N69" s="39" t="str">
        <x:v>Open-drain; partial-power-down support</x:v>
      </x:c>
      <x:c r="O69" s="39" t="str">
        <x:v>Listed; recheck</x:v>
      </x:c>
      <x:c r="P69" s="39" t="str">
        <x:v>SMT</x:v>
      </x:c>
      <x:c r="Q69" s="39" t="str">
        <x:v>One per node, powered from central 3.3 V, prevents FG back-powering. Ioff/partial-power-down support is not a fail-low NRST function and this part is not assigned as the reset-release element</x:v>
      </x:c>
      <x:c r="R69" s="39" t="str">
        <x:v>https://www.lcsc.com/product-detail/C7829.html</x:v>
      </x:c>
      <x:c r="S69" s="39" t="str">
        <x:v>https://www.ti.com/lit/ds/symlink/sn74lvc1g07.pdf</x:v>
      </x:c>
    </x:row>
    <x:row r="70" ht="15" hidden="0" customHeight="1">
      <x:c r="A70" s="39" t="n">
        <x:v>65</x:v>
      </x:c>
      <x:c r="B70" s="39" t="str">
        <x:v>Selected</x:v>
      </x:c>
      <x:c r="C70" s="39" t="str">
        <x:v>Interface</x:v>
      </x:c>
      <x:c r="D70" s="39" t="str">
        <x:v>Receiver input buffer</x:v>
      </x:c>
      <x:c r="E70" s="39" t="str">
        <x:v>Texas Instruments</x:v>
      </x:c>
      <x:c r="F70" s="39" t="str">
        <x:v>SN74LVC125APWR</x:v>
      </x:c>
      <x:c r="G70" s="39" t="str">
        <x:v>C7813</x:v>
      </x:c>
      <x:c r="H70" s="39" t="str">
        <x:v>TSSOP-14</x:v>
      </x:c>
      <x:c r="I70" s="40" t="n">
        <x:v>1</x:v>
      </x:c>
      <x:c r="J70" s="40" t="n">
        <x:v>0</x:v>
      </x:c>
      <x:c r="K70" s="40" t="n">
        <x:f>'Current Sizing'!$B$10</x:f>
        <x:v>4</x:v>
      </x:c>
      <x:c r="L70" s="40" t="n">
        <x:f>I70+(J70*K70)</x:f>
        <x:v>1</x:v>
      </x:c>
      <x:c r="M70" s="40" t="n">
        <x:v>0</x:v>
      </x:c>
      <x:c r="N70" s="39" t="str">
        <x:v>5 V-tolerant inputs at 3.3 V</x:v>
      </x:c>
      <x:c r="O70" s="39" t="str">
        <x:v>Listed; recheck</x:v>
      </x:c>
      <x:c r="P70" s="39" t="str">
        <x:v>SMT</x:v>
      </x:c>
      <x:c r="Q70" s="39" t="str">
        <x:v>CH1/CH2/CH4/CH5</x:v>
      </x:c>
      <x:c r="R70" s="39" t="str">
        <x:v>https://www.lcsc.com/product-detail/C7813.html</x:v>
      </x:c>
      <x:c r="S70" s="39" t="str">
        <x:v>https://www.ti.com/lit/ds/symlink/sn74lvc125a.pdf</x:v>
      </x:c>
    </x:row>
    <x:row r="71" ht="15" hidden="0" customHeight="1">
      <x:c r="A71" s="39" t="n">
        <x:v>66</x:v>
      </x:c>
      <x:c r="B71" s="39" t="str">
        <x:v>Selected</x:v>
      </x:c>
      <x:c r="C71" s="39" t="str">
        <x:v>Interface</x:v>
      </x:c>
      <x:c r="D71" s="39" t="str">
        <x:v>5 V servo signal buffer</x:v>
      </x:c>
      <x:c r="E71" s="39" t="str">
        <x:v>Texas Instruments</x:v>
      </x:c>
      <x:c r="F71" s="39" t="str">
        <x:v>SN74AHCT1G125DBVR</x:v>
      </x:c>
      <x:c r="G71" s="39" t="str">
        <x:v>C7484</x:v>
      </x:c>
      <x:c r="H71" s="39" t="str">
        <x:v>SOT-23-5</x:v>
      </x:c>
      <x:c r="I71" s="40" t="n">
        <x:v>1</x:v>
      </x:c>
      <x:c r="J71" s="40" t="n">
        <x:v>0</x:v>
      </x:c>
      <x:c r="K71" s="40" t="n">
        <x:f>'Current Sizing'!$B$10</x:f>
        <x:v>4</x:v>
      </x:c>
      <x:c r="L71" s="40" t="n">
        <x:f>I71+(J71*K71)</x:f>
        <x:v>1</x:v>
      </x:c>
      <x:c r="M71" s="40" t="n">
        <x:v>0</x:v>
      </x:c>
      <x:c r="N71" s="39" t="str">
        <x:v>AHCT input threshold, 5 V output</x:v>
      </x:c>
      <x:c r="O71" s="39" t="str">
        <x:v>Listed; recheck</x:v>
      </x:c>
      <x:c r="P71" s="39" t="str">
        <x:v>SMT</x:v>
      </x:c>
      <x:c r="Q71" s="39" t="str">
        <x:v>Signal only; servo supply remains external</x:v>
      </x:c>
      <x:c r="R71" s="39" t="str">
        <x:v>https://www.lcsc.com/product-detail/C7484.html</x:v>
      </x:c>
      <x:c r="S71" s="39" t="str">
        <x:v>https://www.ti.com/lit/ds/symlink/sn74ahct1g125.pdf</x:v>
      </x:c>
    </x:row>
    <x:row r="72" ht="26.399999618530273" hidden="0" customHeight="1">
      <x:c r="A72" s="39" t="n">
        <x:v>67</x:v>
      </x:c>
      <x:c r="B72" s="39" t="str">
        <x:v>Selected</x:v>
      </x:c>
      <x:c r="C72" s="39" t="str">
        <x:v>Protection</x:v>
      </x:c>
      <x:c r="D72" s="39" t="str">
        <x:v>Servo signal ESD</x:v>
      </x:c>
      <x:c r="E72" s="39" t="str">
        <x:v>Texas Instruments</x:v>
      </x:c>
      <x:c r="F72" s="39" t="str">
        <x:v>TPD1E05U06DPYR</x:v>
      </x:c>
      <x:c r="G72" s="39" t="str">
        <x:v>C436349</x:v>
      </x:c>
      <x:c r="H72" s="39" t="str">
        <x:v>X1SON-2</x:v>
      </x:c>
      <x:c r="I72" s="40" t="n">
        <x:v>1</x:v>
      </x:c>
      <x:c r="J72" s="40" t="n">
        <x:v>0</x:v>
      </x:c>
      <x:c r="K72" s="40" t="n">
        <x:f>'Current Sizing'!$B$10</x:f>
        <x:v>4</x:v>
      </x:c>
      <x:c r="L72" s="40" t="n">
        <x:f>I72+(J72*K72)</x:f>
        <x:v>1</x:v>
      </x:c>
      <x:c r="M72" s="40" t="n">
        <x:v>0</x:v>
      </x:c>
      <x:c r="N72" s="39" t="str">
        <x:v>Single-channel, low-capacitance ESD</x:v>
      </x:c>
      <x:c r="O72" s="39" t="str">
        <x:v>Listed; recheck</x:v>
      </x:c>
      <x:c r="P72" s="39" t="str">
        <x:v>SMT</x:v>
      </x:c>
      <x:c r="Q72" s="39" t="str">
        <x:v>Place at the external servo connector on the signal line</x:v>
      </x:c>
      <x:c r="R72" s="39" t="str">
        <x:v>https://www.lcsc.com/product-detail/C436349.html</x:v>
      </x:c>
      <x:c r="S72" s="39" t="str">
        <x:v>https://www.ti.com/lit/ds/symlink/tpd1e05u06.pdf</x:v>
      </x:c>
    </x:row>
    <x:row r="73" ht="39.599998474121094" hidden="0" customHeight="1">
      <x:c r="A73" s="39" t="n">
        <x:v>68</x:v>
      </x:c>
      <x:c r="B73" s="39" t="str">
        <x:v>Selected</x:v>
      </x:c>
      <x:c r="C73" s="39" t="str">
        <x:v>Protection</x:v>
      </x:c>
      <x:c r="D73" s="39" t="str">
        <x:v>Logic input fuse</x:v>
      </x:c>
      <x:c r="E73" s="39" t="str">
        <x:v>Littelfuse</x:v>
      </x:c>
      <x:c r="F73" s="39" t="str">
        <x:v>0451002.MRL</x:v>
      </x:c>
      <x:c r="G73" s="39" t="str">
        <x:v>C99547</x:v>
      </x:c>
      <x:c r="H73" s="39" t="str">
        <x:v>NANO2 451</x:v>
      </x:c>
      <x:c r="I73" s="40" t="n">
        <x:v>1</x:v>
      </x:c>
      <x:c r="J73" s="40" t="n">
        <x:v>0</x:v>
      </x:c>
      <x:c r="K73" s="40" t="n">
        <x:f>'Current Sizing'!$B$10</x:f>
        <x:v>4</x:v>
      </x:c>
      <x:c r="L73" s="40" t="n">
        <x:f>I73+(J73*K73)</x:f>
        <x:v>1</x:v>
      </x:c>
      <x:c r="M73" s="40" t="n">
        <x:v>0</x:v>
      </x:c>
      <x:c r="N73" s="39" t="str">
        <x:v>2 A, 125 V fast-acting</x:v>
      </x:c>
      <x:c r="O73" s="39" t="str">
        <x:v>Listed; recheck</x:v>
      </x:c>
      <x:c r="P73" s="39" t="str">
        <x:v>SMT</x:v>
      </x:c>
      <x:c r="Q73" s="39" t="str">
        <x:v>Coordinate with logic-buck surge/short behavior</x:v>
      </x:c>
      <x:c r="R73" s="39" t="str">
        <x:v>https://www.lcsc.com/product-detail/C99547.html</x:v>
      </x:c>
      <x:c r="S73" s="39" t="str">
        <x:v>https://www.littelfuse.com/assetdocs/nano2-451-453-series-datasheet?assetguid=e3580b49-d9ac-477f-ab50-f88262262fc2</x:v>
      </x:c>
    </x:row>
    <x:row r="74" ht="26.399999618530273" hidden="0" customHeight="1">
      <x:c r="A74" s="39" t="n">
        <x:v>69</x:v>
      </x:c>
      <x:c r="B74" s="39" t="str">
        <x:v>Selected</x:v>
      </x:c>
      <x:c r="C74" s="39" t="str">
        <x:v>Protection</x:v>
      </x:c>
      <x:c r="D74" s="39" t="str">
        <x:v>Logic reverse-blocking diode</x:v>
      </x:c>
      <x:c r="E74" s="39" t="str">
        <x:v>STMicroelectronics</x:v>
      </x:c>
      <x:c r="F74" s="39" t="str">
        <x:v>STPS2H100A</x:v>
      </x:c>
      <x:c r="G74" s="39" t="str">
        <x:v>C81548</x:v>
      </x:c>
      <x:c r="H74" s="39" t="str">
        <x:v>SMA</x:v>
      </x:c>
      <x:c r="I74" s="40" t="n">
        <x:v>1</x:v>
      </x:c>
      <x:c r="J74" s="40" t="n">
        <x:v>0</x:v>
      </x:c>
      <x:c r="K74" s="40" t="n">
        <x:f>'Current Sizing'!$B$10</x:f>
        <x:v>4</x:v>
      </x:c>
      <x:c r="L74" s="40" t="n">
        <x:f>I74+(J74*K74)</x:f>
        <x:v>1</x:v>
      </x:c>
      <x:c r="M74" s="40" t="n">
        <x:v>0</x:v>
      </x:c>
      <x:c r="N74" s="39" t="str">
        <x:v>100 V, 2 A Schottky</x:v>
      </x:c>
      <x:c r="O74" s="39" t="str">
        <x:v>Listed; recheck</x:v>
      </x:c>
      <x:c r="P74" s="39" t="str">
        <x:v>SMT</x:v>
      </x:c>
      <x:c r="Q74" s="39" t="str">
        <x:v>Check loss and surge rating</x:v>
      </x:c>
      <x:c r="R74" s="39" t="str">
        <x:v>https://www.lcsc.com/product-detail/C81548.html</x:v>
      </x:c>
      <x:c r="S74" s="39" t="str">
        <x:v>https://www.st.com/resource/en/datasheet/stps2h100.pdf</x:v>
      </x:c>
    </x:row>
    <x:row r="75" ht="26.399999618530273" hidden="0" customHeight="1">
      <x:c r="A75" s="39" t="n">
        <x:v>70</x:v>
      </x:c>
      <x:c r="B75" s="39" t="str">
        <x:v>Selected</x:v>
      </x:c>
      <x:c r="C75" s="39" t="str">
        <x:v>USB</x:v>
      </x:c>
      <x:c r="D75" s="39" t="str">
        <x:v>USB VBUS PPTC</x:v>
      </x:c>
      <x:c r="E75" s="39" t="str">
        <x:v>Bourns</x:v>
      </x:c>
      <x:c r="F75" s="39" t="str">
        <x:v>MF-MSMF150/24X-2</x:v>
      </x:c>
      <x:c r="G75" s="39" t="str">
        <x:v>C78695</x:v>
      </x:c>
      <x:c r="H75" s="39" t="str">
        <x:v>1812</x:v>
      </x:c>
      <x:c r="I75" s="40" t="n">
        <x:v>1</x:v>
      </x:c>
      <x:c r="J75" s="40" t="n">
        <x:v>0</x:v>
      </x:c>
      <x:c r="K75" s="40" t="n">
        <x:f>'Current Sizing'!$B$10</x:f>
        <x:v>4</x:v>
      </x:c>
      <x:c r="L75" s="40" t="n">
        <x:f>I75+(J75*K75)</x:f>
        <x:v>1</x:v>
      </x:c>
      <x:c r="M75" s="40" t="n">
        <x:v>0</x:v>
      </x:c>
      <x:c r="N75" s="39" t="str">
        <x:v>1.5 A hold, 24 V</x:v>
      </x:c>
      <x:c r="O75" s="39" t="str">
        <x:v>Listed; recheck</x:v>
      </x:c>
      <x:c r="P75" s="39" t="str">
        <x:v>SMT</x:v>
      </x:c>
      <x:c r="Q75" s="39" t="str">
        <x:v>USB is debug/logic only</x:v>
      </x:c>
      <x:c r="R75" s="39" t="str">
        <x:v>https://www.lcsc.com/product-detail/C78695.html</x:v>
      </x:c>
      <x:c r="S75" s="39" t="str">
        <x:v>https://www.bourns.com/docs/product-datasheets/mf-msmf.pdf</x:v>
      </x:c>
    </x:row>
    <x:row r="76" ht="26.399999618530273" hidden="0" customHeight="1">
      <x:c r="A76" s="39" t="n">
        <x:v>71</x:v>
      </x:c>
      <x:c r="B76" s="39" t="str">
        <x:v>Selected</x:v>
      </x:c>
      <x:c r="C76" s="39" t="str">
        <x:v>USB</x:v>
      </x:c>
      <x:c r="D76" s="39" t="str">
        <x:v>USB VBUS TVS</x:v>
      </x:c>
      <x:c r="E76" s="39" t="str">
        <x:v>Littelfuse</x:v>
      </x:c>
      <x:c r="F76" s="39" t="str">
        <x:v>SMBJ5.0A</x:v>
      </x:c>
      <x:c r="G76" s="39" t="str">
        <x:v>C83333</x:v>
      </x:c>
      <x:c r="H76" s="39" t="str">
        <x:v>SMB</x:v>
      </x:c>
      <x:c r="I76" s="40" t="n">
        <x:v>1</x:v>
      </x:c>
      <x:c r="J76" s="40" t="n">
        <x:v>0</x:v>
      </x:c>
      <x:c r="K76" s="40" t="n">
        <x:f>'Current Sizing'!$B$10</x:f>
        <x:v>4</x:v>
      </x:c>
      <x:c r="L76" s="40" t="n">
        <x:f>I76+(J76*K76)</x:f>
        <x:v>1</x:v>
      </x:c>
      <x:c r="M76" s="40" t="n">
        <x:v>0</x:v>
      </x:c>
      <x:c r="N76" s="39" t="str">
        <x:v>5 V unidirectional TVS</x:v>
      </x:c>
      <x:c r="O76" s="39" t="str">
        <x:v>Listed; recheck</x:v>
      </x:c>
      <x:c r="P76" s="39" t="str">
        <x:v>SMT</x:v>
      </x:c>
      <x:c r="Q76" s="39" t="str">
        <x:v>Place after PPTC as reviewed</x:v>
      </x:c>
      <x:c r="R76" s="39" t="str">
        <x:v>https://www.lcsc.com/product-detail/C83333.html</x:v>
      </x:c>
      <x:c r="S76" s="39" t="str">
        <x:v>https://www.littelfuse.com/assetdocs/tvs-diode-smbj-datasheet?assetguid=bed67040-284a-430a-afc1-01414fb9f46a</x:v>
      </x:c>
    </x:row>
    <x:row r="77" ht="26.399999618530273" hidden="0" customHeight="1">
      <x:c r="A77" s="39" t="n">
        <x:v>72</x:v>
      </x:c>
      <x:c r="B77" s="39" t="str">
        <x:v>Selected</x:v>
      </x:c>
      <x:c r="C77" s="39" t="str">
        <x:v>USB</x:v>
      </x:c>
      <x:c r="D77" s="39" t="str">
        <x:v>USB-C receptacle</x:v>
      </x:c>
      <x:c r="E77" s="39" t="str">
        <x:v>GCT</x:v>
      </x:c>
      <x:c r="F77" s="39" t="str">
        <x:v>USB4085-GF-A</x:v>
      </x:c>
      <x:c r="G77" s="39" t="str">
        <x:v>C7095263</x:v>
      </x:c>
      <x:c r="H77" s="39" t="str">
        <x:v>USB-C SMT</x:v>
      </x:c>
      <x:c r="I77" s="40" t="n">
        <x:v>1</x:v>
      </x:c>
      <x:c r="J77" s="40" t="n">
        <x:v>0</x:v>
      </x:c>
      <x:c r="K77" s="40" t="n">
        <x:f>'Current Sizing'!$B$10</x:f>
        <x:v>4</x:v>
      </x:c>
      <x:c r="L77" s="40" t="n">
        <x:f>I77+(J77*K77)</x:f>
        <x:v>1</x:v>
      </x:c>
      <x:c r="M77" s="40" t="n">
        <x:v>0</x:v>
      </x:c>
      <x:c r="N77" s="39" t="str">
        <x:v>USB 2.0 Type-C</x:v>
      </x:c>
      <x:c r="O77" s="39" t="str">
        <x:v>Listed; recheck</x:v>
      </x:c>
      <x:c r="P77" s="39" t="str">
        <x:v>SMT/manual check</x:v>
      </x:c>
      <x:c r="Q77" s="39" t="str">
        <x:v>5.1 kΩ Rd on CC1/CC2; no PD</x:v>
      </x:c>
      <x:c r="R77" s="39" t="str">
        <x:v>https://www.lcsc.com/product-detail/C7095263.html</x:v>
      </x:c>
      <x:c r="S77" s="39" t="str">
        <x:v>https://gct.co/files/drawings/usb4085.pdf</x:v>
      </x:c>
    </x:row>
    <x:row r="78" ht="26.399999618530273" hidden="0" customHeight="1">
      <x:c r="A78" s="39" t="n">
        <x:v>73</x:v>
      </x:c>
      <x:c r="B78" s="39" t="str">
        <x:v>Selected</x:v>
      </x:c>
      <x:c r="C78" s="39" t="str">
        <x:v>USB</x:v>
      </x:c>
      <x:c r="D78" s="39" t="str">
        <x:v>USB/CC ESD array</x:v>
      </x:c>
      <x:c r="E78" s="39" t="str">
        <x:v>Texas Instruments</x:v>
      </x:c>
      <x:c r="F78" s="39" t="str">
        <x:v>TPD4E05U06DQAR</x:v>
      </x:c>
      <x:c r="G78" s="39" t="str">
        <x:v>C138714</x:v>
      </x:c>
      <x:c r="H78" s="39" t="str">
        <x:v>USON-10</x:v>
      </x:c>
      <x:c r="I78" s="40" t="n">
        <x:v>1</x:v>
      </x:c>
      <x:c r="J78" s="40" t="n">
        <x:v>0</x:v>
      </x:c>
      <x:c r="K78" s="40" t="n">
        <x:f>'Current Sizing'!$B$10</x:f>
        <x:v>4</x:v>
      </x:c>
      <x:c r="L78" s="40" t="n">
        <x:f>I78+(J78*K78)</x:f>
        <x:v>1</x:v>
      </x:c>
      <x:c r="M78" s="40" t="n">
        <x:v>0</x:v>
      </x:c>
      <x:c r="N78" s="39" t="str">
        <x:v>4-channel low-capacitance ESD</x:v>
      </x:c>
      <x:c r="O78" s="39" t="str">
        <x:v>Listed; recheck</x:v>
      </x:c>
      <x:c r="P78" s="39" t="str">
        <x:v>SMT</x:v>
      </x:c>
      <x:c r="Q78" s="39" t="str">
        <x:v>Place at connector</x:v>
      </x:c>
      <x:c r="R78" s="39" t="str">
        <x:v>https://www.lcsc.com/product-detail/C138714.html</x:v>
      </x:c>
      <x:c r="S78" s="39" t="str">
        <x:v>https://www.ti.com/lit/ds/symlink/tpd4e05u06.pdf</x:v>
      </x:c>
    </x:row>
    <x:row r="79" ht="39.599998474121094" hidden="0" customHeight="1">
      <x:c r="A79" s="39" t="n">
        <x:v>74</x:v>
      </x:c>
      <x:c r="B79" s="39" t="str">
        <x:v>Selected</x:v>
      </x:c>
      <x:c r="C79" s="39" t="str">
        <x:v>Protection</x:v>
      </x:c>
      <x:c r="D79" s="39" t="str">
        <x:v>Receiver signal ESD</x:v>
      </x:c>
      <x:c r="E79" s="39" t="str">
        <x:v>Littelfuse</x:v>
      </x:c>
      <x:c r="F79" s="39" t="str">
        <x:v>SP0504BAHTG</x:v>
      </x:c>
      <x:c r="G79" s="39" t="str">
        <x:v>C10675</x:v>
      </x:c>
      <x:c r="H79" s="39" t="str">
        <x:v>SOT-23-6</x:v>
      </x:c>
      <x:c r="I79" s="40" t="n">
        <x:v>1</x:v>
      </x:c>
      <x:c r="J79" s="40" t="n">
        <x:v>0</x:v>
      </x:c>
      <x:c r="K79" s="40" t="n">
        <x:f>'Current Sizing'!$B$10</x:f>
        <x:v>4</x:v>
      </x:c>
      <x:c r="L79" s="40" t="n">
        <x:f>I79+(J79*K79)</x:f>
        <x:v>1</x:v>
      </x:c>
      <x:c r="M79" s="40" t="n">
        <x:v>0</x:v>
      </x:c>
      <x:c r="N79" s="39" t="str">
        <x:v>4-channel ESD array</x:v>
      </x:c>
      <x:c r="O79" s="39" t="str">
        <x:v>Listed; recheck</x:v>
      </x:c>
      <x:c r="P79" s="39" t="str">
        <x:v>SMT</x:v>
      </x:c>
      <x:c r="Q79" s="39" t="str">
        <x:v>Protect the four external receiver inputs CH1/CH2/CH4/CH5</x:v>
      </x:c>
      <x:c r="R79" s="39" t="str">
        <x:v>https://www.lcsc.com/product-detail/C10675.html</x:v>
      </x:c>
      <x:c r="S79" s="39" t="str">
        <x:v>https://www.littelfuse.com/assetdocs/tvs-diode-array-sp05-datasheet?assetguid=aa5cda8e-3825-4a58-b143-0b97fb0def03</x:v>
      </x:c>
    </x:row>
    <x:row r="80" ht="26.399999618530273" hidden="0" customHeight="1">
      <x:c r="A80" s="39" t="n">
        <x:v>75</x:v>
      </x:c>
      <x:c r="B80" s="39" t="str">
        <x:v>Selected</x:v>
      </x:c>
      <x:c r="C80" s="39" t="str">
        <x:v>RF</x:v>
      </x:c>
      <x:c r="D80" s="39" t="str">
        <x:v>GNSS RF ESD diode</x:v>
      </x:c>
      <x:c r="E80" s="39" t="str">
        <x:v>Comchip</x:v>
      </x:c>
      <x:c r="F80" s="39" t="str">
        <x:v>CPDQC5V0SC-HF</x:v>
      </x:c>
      <x:c r="G80" s="39" t="str">
        <x:v>C2443470</x:v>
      </x:c>
      <x:c r="H80" s="39" t="str">
        <x:v>SOD-923F</x:v>
      </x:c>
      <x:c r="I80" s="40" t="n">
        <x:v>1</x:v>
      </x:c>
      <x:c r="J80" s="40" t="n">
        <x:v>0</x:v>
      </x:c>
      <x:c r="K80" s="40" t="n">
        <x:f>'Current Sizing'!$B$10</x:f>
        <x:v>4</x:v>
      </x:c>
      <x:c r="L80" s="40" t="n">
        <x:f>I80+(J80*K80)</x:f>
        <x:v>1</x:v>
      </x:c>
      <x:c r="M80" s="40" t="n">
        <x:v>0</x:v>
      </x:c>
      <x:c r="N80" s="39" t="str">
        <x:v>5 V bidirectional, 0.2 pF typ</x:v>
      </x:c>
      <x:c r="O80" s="39" t="str">
        <x:v>~10k seen; recheck</x:v>
      </x:c>
      <x:c r="P80" s="39" t="str">
        <x:v>SMT</x:v>
      </x:c>
      <x:c r="Q80" s="39" t="str">
        <x:v>Include in 50 Ω model and verify by VNA</x:v>
      </x:c>
      <x:c r="R80" s="39" t="str">
        <x:v>https://www.lcsc.com/product-detail/C2443470.html</x:v>
      </x:c>
      <x:c r="S80" s="39" t="str">
        <x:v>https://datasheet.lcsc.com/datasheet/pdf/607846473be111c6c809ed6a92ded7c7.pdf?productCode=C2443470</x:v>
      </x:c>
    </x:row>
    <x:row r="81" ht="26.399999618530273" hidden="0" customHeight="1">
      <x:c r="A81" s="39" t="n">
        <x:v>76</x:v>
      </x:c>
      <x:c r="B81" s="39" t="str">
        <x:v>Selected</x:v>
      </x:c>
      <x:c r="C81" s="39" t="str">
        <x:v>RF</x:v>
      </x:c>
      <x:c r="D81" s="39" t="str">
        <x:v>GNSS U.FL jack</x:v>
      </x:c>
      <x:c r="E81" s="39" t="str">
        <x:v>Hirose</x:v>
      </x:c>
      <x:c r="F81" s="39" t="str">
        <x:v>U.FL-R-SMT-1(80)</x:v>
      </x:c>
      <x:c r="G81" s="39" t="str">
        <x:v>C88374</x:v>
      </x:c>
      <x:c r="H81" s="39" t="str">
        <x:v>U.FL SMT</x:v>
      </x:c>
      <x:c r="I81" s="40" t="n">
        <x:v>1</x:v>
      </x:c>
      <x:c r="J81" s="40" t="n">
        <x:v>0</x:v>
      </x:c>
      <x:c r="K81" s="40" t="n">
        <x:f>'Current Sizing'!$B$10</x:f>
        <x:v>4</x:v>
      </x:c>
      <x:c r="L81" s="40" t="n">
        <x:f>I81+(J81*K81)</x:f>
        <x:v>1</x:v>
      </x:c>
      <x:c r="M81" s="40" t="n">
        <x:v>0</x:v>
      </x:c>
      <x:c r="N81" s="39" t="str">
        <x:v>50 Ω miniature coax</x:v>
      </x:c>
      <x:c r="O81" s="39" t="str">
        <x:v>Listed; recheck</x:v>
      </x:c>
      <x:c r="P81" s="39" t="str">
        <x:v>SMT</x:v>
      </x:c>
      <x:c r="Q81" s="39" t="str">
        <x:v>Controlled-impedance route</x:v>
      </x:c>
      <x:c r="R81" s="39" t="str">
        <x:v>https://www.lcsc.com/product-detail/C88374.html</x:v>
      </x:c>
      <x:c r="S81" s="39" t="str">
        <x:v>https://www.hirose.com/en/product/series/U.FL</x:v>
      </x:c>
    </x:row>
    <x:row r="82" ht="26.399999618530273" hidden="0" customHeight="1">
      <x:c r="A82" s="39" t="n">
        <x:v>77</x:v>
      </x:c>
      <x:c r="B82" s="39" t="str">
        <x:v>Selected</x:v>
      </x:c>
      <x:c r="C82" s="39" t="str">
        <x:v>Connector</x:v>
      </x:c>
      <x:c r="D82" s="39" t="str">
        <x:v>Receiver header</x:v>
      </x:c>
      <x:c r="E82" s="39" t="str">
        <x:v>Molex</x:v>
      </x:c>
      <x:c r="F82" s="39" t="str">
        <x:v>430450600</x:v>
      </x:c>
      <x:c r="G82" s="39" t="str">
        <x:v>C127367</x:v>
      </x:c>
      <x:c r="H82" s="39" t="str">
        <x:v>Micro-Fit 3.0 RA 6P</x:v>
      </x:c>
      <x:c r="I82" s="40" t="n">
        <x:v>1</x:v>
      </x:c>
      <x:c r="J82" s="40" t="n">
        <x:v>0</x:v>
      </x:c>
      <x:c r="K82" s="40" t="n">
        <x:f>'Current Sizing'!$B$10</x:f>
        <x:v>4</x:v>
      </x:c>
      <x:c r="L82" s="40" t="n">
        <x:f>I82+(J82*K82)</x:f>
        <x:v>1</x:v>
      </x:c>
      <x:c r="M82" s="40" t="n">
        <x:v>0</x:v>
      </x:c>
      <x:c r="N82" s="39" t="str">
        <x:v>Locking 6-circuit header</x:v>
      </x:c>
      <x:c r="O82" s="39" t="str">
        <x:v>Listed; recheck</x:v>
      </x:c>
      <x:c r="P82" s="39" t="str">
        <x:v>THT/manual</x:v>
      </x:c>
      <x:c r="Q82" s="39" t="str">
        <x:v>CH1/CH2/CH4/CH5, receiver supply and ground; confirm keying and harness strain relief</x:v>
      </x:c>
      <x:c r="R82" s="39" t="str">
        <x:v>https://www.lcsc.com/product-detail/C127367.html</x:v>
      </x:c>
      <x:c r="S82" s="39" t="str">
        <x:v>https://www.molex.com/en-us/products/part-detail/430450600</x:v>
      </x:c>
    </x:row>
    <x:row r="83" ht="26.399999618530273" hidden="0" customHeight="1">
      <x:c r="A83" s="39" t="n">
        <x:v>78</x:v>
      </x:c>
      <x:c r="B83" s="39" t="str">
        <x:v>Selected</x:v>
      </x:c>
      <x:c r="C83" s="39" t="str">
        <x:v>Connector</x:v>
      </x:c>
      <x:c r="D83" s="39" t="str">
        <x:v>Servo power/signal header</x:v>
      </x:c>
      <x:c r="E83" s="39" t="str">
        <x:v>JST</x:v>
      </x:c>
      <x:c r="F83" s="39" t="str">
        <x:v>B3P-VH(LF)(SN)</x:v>
      </x:c>
      <x:c r="G83" s="39" t="str">
        <x:v>C160316</x:v>
      </x:c>
      <x:c r="H83" s="39" t="str">
        <x:v>VH 3.96 mm 3P</x:v>
      </x:c>
      <x:c r="I83" s="40" t="n">
        <x:v>1</x:v>
      </x:c>
      <x:c r="J83" s="40" t="n">
        <x:v>0</x:v>
      </x:c>
      <x:c r="K83" s="40" t="n">
        <x:f>'Current Sizing'!$B$10</x:f>
        <x:v>4</x:v>
      </x:c>
      <x:c r="L83" s="40" t="n">
        <x:f>I83+(J83*K83)</x:f>
        <x:v>1</x:v>
      </x:c>
      <x:c r="M83" s="40" t="n">
        <x:v>0</x:v>
      </x:c>
      <x:c r="N83" s="39" t="str">
        <x:v>10 A-class family</x:v>
      </x:c>
      <x:c r="O83" s="39" t="str">
        <x:v>Listed; recheck</x:v>
      </x:c>
      <x:c r="P83" s="39" t="str">
        <x:v>THT/manual</x:v>
      </x:c>
      <x:c r="Q83" s="39" t="str">
        <x:v>Confirm servo stall current and wire gauge</x:v>
      </x:c>
      <x:c r="R83" s="39" t="str">
        <x:v>https://www.lcsc.com/product-detail/C160316.html</x:v>
      </x:c>
      <x:c r="S83" s="39" t="str">
        <x:v>https://www.jst-mfg.com/product/pdf/eng/eVH.pdf</x:v>
      </x:c>
    </x:row>
    <x:row r="84" ht="26.399999618530273" hidden="0" customHeight="1">
      <x:c r="A84" s="39" t="n">
        <x:v>79</x:v>
      </x:c>
      <x:c r="B84" s="39" t="str">
        <x:v>Provisional</x:v>
      </x:c>
      <x:c r="C84" s="39" t="str">
        <x:v>High current</x:v>
      </x:c>
      <x:c r="D84" s="39" t="str">
        <x:v>M5 power/phase terminal</x:v>
      </x:c>
      <x:c r="E84" s="39" t="str">
        <x:v>XFCN</x:v>
      </x:c>
      <x:c r="F84" s="39" t="str">
        <x:v>TM56145145-3300</x:v>
      </x:c>
      <x:c r="G84" s="39" t="str">
        <x:v>C52097684</x:v>
      </x:c>
      <x:c r="H84" s="39" t="str">
        <x:v>M5 THT</x:v>
      </x:c>
      <x:c r="I84" s="40" t="n">
        <x:v>0</x:v>
      </x:c>
      <x:c r="J84" s="40" t="n">
        <x:v>5</x:v>
      </x:c>
      <x:c r="K84" s="40" t="n">
        <x:f>'Current Sizing'!$B$10</x:f>
        <x:v>4</x:v>
      </x:c>
      <x:c r="L84" s="40" t="n">
        <x:f>I84+(J84*K84)</x:f>
        <x:v>20</x:v>
      </x:c>
      <x:c r="M84" s="40" t="n">
        <x:v>0</x:v>
      </x:c>
      <x:c r="N84" s="39" t="str">
        <x:v>Vendor claims 100 A</x:v>
      </x:c>
      <x:c r="O84" s="39" t="str">
        <x:v>~192 seen; recheck</x:v>
      </x:c>
      <x:c r="P84" s="39" t="str">
        <x:v>Manual</x:v>
      </x:c>
      <x:c r="Q84" s="39" t="str">
        <x:v>Catalog rating does not validate land/busbar/vibration</x:v>
      </x:c>
      <x:c r="R84" s="39" t="str">
        <x:v>https://www.lcsc.com/product-detail/C52097684.html</x:v>
      </x:c>
      <x:c r="S84" s="39" t="str">
        <x:v>https://www.lcsc.com/product-detail/C52097684.html</x:v>
      </x:c>
    </x:row>
    <x:row r="85" ht="26.399999618530273" hidden="0" customHeight="1">
      <x:c r="A85" s="39" t="n">
        <x:v>80</x:v>
      </x:c>
      <x:c r="B85" s="39" t="str">
        <x:v>Provisional</x:v>
      </x:c>
      <x:c r="C85" s="39" t="str">
        <x:v>Branch protection</x:v>
      </x:c>
      <x:c r="D85" s="39" t="str">
        <x:v>60 A / 58 V branch fuse</x:v>
      </x:c>
      <x:c r="E85" s="39" t="str">
        <x:v>Littelfuse</x:v>
      </x:c>
      <x:c r="F85" s="39" t="str">
        <x:v>142.5631.5602</x:v>
      </x:c>
      <x:c r="G85" s="39" t="str">
        <x:v>C3662332</x:v>
      </x:c>
      <x:c r="H85" s="39" t="str">
        <x:v>Bolt-in BF1</x:v>
      </x:c>
      <x:c r="I85" s="40" t="n">
        <x:v>0</x:v>
      </x:c>
      <x:c r="J85" s="40" t="n">
        <x:v>1</x:v>
      </x:c>
      <x:c r="K85" s="40" t="n">
        <x:f>'Current Sizing'!$B$10</x:f>
        <x:v>4</x:v>
      </x:c>
      <x:c r="L85" s="40" t="n">
        <x:f>I85+(J85*K85)</x:f>
        <x:v>4</x:v>
      </x:c>
      <x:c r="M85" s="40" t="n">
        <x:v>0</x:v>
      </x:c>
      <x:c r="N85" s="39" t="str">
        <x:v>60 A, 58 V DC</x:v>
      </x:c>
      <x:c r="O85" s="39" t="str">
        <x:v>Low stock seen; recheck</x:v>
      </x:c>
      <x:c r="P85" s="39" t="str">
        <x:v>External/manual</x:v>
      </x:c>
      <x:c r="Q85" s="39" t="str">
        <x:v>Time-current, interruption and cable coordination required</x:v>
      </x:c>
      <x:c r="R85" s="39" t="str">
        <x:v>https://www.lcsc.com/product-detail/C3662332.html</x:v>
      </x:c>
      <x:c r="S85" s="39" t="str">
        <x:v>https://www.littelfuse.com/products/fuses/automotive-passenger-car/high-current-fuses/bf1-58v.aspx</x:v>
      </x:c>
    </x:row>
    <x:row r="86" ht="39.599998474121094" hidden="0" customHeight="1">
      <x:c r="A86" s="39" t="n">
        <x:v>81</x:v>
      </x:c>
      <x:c r="B86" s="39" t="str">
        <x:v>Provisional</x:v>
      </x:c>
      <x:c r="C86" s="39" t="str">
        <x:v>Branch protection</x:v>
      </x:c>
      <x:c r="D86" s="39" t="str">
        <x:v>58 V branch fuse holder</x:v>
      </x:c>
      <x:c r="E86" s="39" t="str">
        <x:v>Littelfuse</x:v>
      </x:c>
      <x:c r="F86" s="39" t="str">
        <x:v>04980917ZXT</x:v>
      </x:c>
      <x:c r="G86" s="39" t="str">
        <x:v>C3204665</x:v>
      </x:c>
      <x:c r="H86" s="39" t="str">
        <x:v>MIDI holder</x:v>
      </x:c>
      <x:c r="I86" s="40" t="n">
        <x:v>0</x:v>
      </x:c>
      <x:c r="J86" s="40" t="n">
        <x:v>1</x:v>
      </x:c>
      <x:c r="K86" s="40" t="n">
        <x:f>'Current Sizing'!$B$10</x:f>
        <x:v>4</x:v>
      </x:c>
      <x:c r="L86" s="40" t="n">
        <x:f>I86+(J86*K86)</x:f>
        <x:v>4</x:v>
      </x:c>
      <x:c r="M86" s="40" t="n">
        <x:v>0</x:v>
      </x:c>
      <x:c r="N86" s="39" t="str">
        <x:v>58 V, M5 holder/cover</x:v>
      </x:c>
      <x:c r="O86" s="39" t="str">
        <x:v>Stock unconfirmed</x:v>
      </x:c>
      <x:c r="P86" s="39" t="str">
        <x:v>External/manual</x:v>
      </x:c>
      <x:c r="Q86" s="39" t="str">
        <x:v>Mount in external PDU and recheck procurement</x:v>
      </x:c>
      <x:c r="R86" s="39" t="str">
        <x:v>https://www.lcsc.com/product-detail/C3204665.html</x:v>
      </x:c>
      <x:c r="S86" s="39" t="str">
        <x:v>https://www.littelfuse.com/assetdocs/automotive-fuse-holder-selection-guide?assetguid=f50b8dc0-4605-4936-bbd2-7106ee81af3f</x:v>
      </x:c>
    </x:row>
    <x:row r="87" ht="52.79999923706055" hidden="0" customHeight="1">
      <x:c r="A87" s="39" t="n">
        <x:v>82</x:v>
      </x:c>
      <x:c r="B87" s="39" t="str">
        <x:v>Schematic dependent</x:v>
      </x:c>
      <x:c r="C87" s="39" t="str">
        <x:v>Safety / passives</x:v>
      </x:c>
      <x:c r="D87" s="39" t="str">
        <x:v>Fail-low NRST release, feedback, I2C, filter and latch network</x:v>
      </x:c>
      <x:c r="E87" s="39" t="str">
        <x:v>LCSC-stocked qualified families</x:v>
      </x:c>
      <x:c r="F87" s="39" t="str">
        <x:v>Exact parts after schematic/FMEA analysis</x:v>
      </x:c>
      <x:c r="G87" s="39" t="str">
        <x:v>TBD before release</x:v>
      </x:c>
      <x:c r="H87" s="39" t="str">
        <x:v>0402–1210</x:v>
      </x:c>
      <x:c r="I87" s="40" t="n">
        <x:v>0</x:v>
      </x:c>
      <x:c r="J87" s="40" t="n">
        <x:v>0</x:v>
      </x:c>
      <x:c r="K87" s="40" t="n">
        <x:f>'Current Sizing'!$B$10</x:f>
        <x:v>4</x:v>
      </x:c>
      <x:c r="L87" s="40" t="n">
        <x:f>I87+(J87*K87)</x:f>
        <x:v>0</x:v>
      </x:c>
      <x:c r="M87" s="40" t="n">
        <x:v>0</x:v>
      </x:c>
      <x:c r="N87" s="39" t="str">
        <x:v>Every fitted value needs exact MPN/LCSC line</x:v>
      </x:c>
      <x:c r="O87" s="39" t="str">
        <x:v>Not selected</x:v>
      </x:c>
      <x:c r="P87" s="39" t="str">
        <x:v>SMT</x:v>
      </x:c>
      <x:c r="Q87" s="39" t="str">
        <x:v>Must include four passive-default-low, locally powered controlled-reset-release stages plus regulator compensation, distinct per-leg I2C address straps and fault timing; no open-drain buffer may be credited as fail-low merely because it has Ioff</x:v>
      </x:c>
      <x:c r="R87" s="39" t="str"/>
      <x:c r="S87" s="39" t="str"/>
    </x:row>
    <x:row r="88" ht="26.399999618530273" hidden="0" customHeight="1">
      <x:c r="A88" s="39" t="n">
        <x:v>83</x:v>
      </x:c>
      <x:c r="B88" s="39" t="str">
        <x:v>DNP</x:v>
      </x:c>
      <x:c r="C88" s="39" t="str">
        <x:v>Power stage</x:v>
      </x:c>
      <x:c r="D88" s="39" t="str">
        <x:v>RC snubber tuning footprints</x:v>
      </x:c>
      <x:c r="E88" s="39" t="str">
        <x:v>LCSC-stocked qualified families</x:v>
      </x:c>
      <x:c r="F88" s="39" t="str">
        <x:v>DNP until measured</x:v>
      </x:c>
      <x:c r="G88" s="39" t="str">
        <x:v>TBD after DPT</x:v>
      </x:c>
      <x:c r="H88" s="39" t="str">
        <x:v>0603–1206</x:v>
      </x:c>
      <x:c r="I88" s="40" t="n">
        <x:v>0</x:v>
      </x:c>
      <x:c r="J88" s="40" t="n">
        <x:v>0</x:v>
      </x:c>
      <x:c r="K88" s="40" t="n">
        <x:f>'Current Sizing'!$B$10</x:f>
        <x:v>4</x:v>
      </x:c>
      <x:c r="L88" s="40" t="n">
        <x:f>I88+(J88*K88)</x:f>
        <x:v>0</x:v>
      </x:c>
      <x:c r="M88" s="40" t="n">
        <x:v>24</x:v>
      </x:c>
      <x:c r="N88" s="39" t="str">
        <x:v>One RC footprint per switch position</x:v>
      </x:c>
      <x:c r="O88" s="39" t="str">
        <x:v>Not selected</x:v>
      </x:c>
      <x:c r="P88" s="39" t="str">
        <x:v>SMT</x:v>
      </x:c>
      <x:c r="Q88" s="39" t="str">
        <x:v>Select only from measured ringing</x:v>
      </x:c>
      <x:c r="R88" s="39" t="str"/>
      <x:c r="S88" s="39" t="str"/>
    </x:row>
  </x:sheetData>
  <x:mergeCells>
    <x:mergeCell ref="A1:S1"/>
    <x:mergeCell ref="A2:S2"/>
  </x:mergeCells>
  <x:conditionalFormatting sqref="B6:B88">
    <x:cfRule type="containsText" dxfId="0" priority="1" operator="containsText" text="Selected"/>
    <x:cfRule type="containsText" dxfId="1" priority="2" operator="containsText" text="Provisional"/>
    <x:cfRule type="containsText" dxfId="2" priority="3" operator="containsText" text="Schematic dependent"/>
  </x:conditionalFormatting>
  <x:dataValidations count="1">
    <x:dataValidation type="list" sqref="B6:B88">
      <x:formula1>"Selected,Provisional,Schematic dependent,DNP"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16e57233c849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7" hidden="0" customWidth="1"/>
    <x:col min="3" max="3" width="3" hidden="0" customWidth="1"/>
    <x:col min="4" max="4" width="45" hidden="0" customWidth="1"/>
    <x:col min="5" max="5" width="18" hidden="0" customWidth="1"/>
    <x:col min="6" max="6" width="3" hidden="0" customWidth="1"/>
    <x:col min="7" max="7" width="10" hidden="0" customWidth="1"/>
    <x:col min="8" max="8" width="14" hidden="0" customWidth="1"/>
    <x:col min="9" max="9" width="14" hidden="0" customWidth="1"/>
    <x:col min="10" max="10" width="20" hidden="0" customWidth="1"/>
    <x:col min="11" max="11" width="16" hidden="0" customWidth="1"/>
    <x:col min="12" max="12" width="17" hidden="0" customWidth="1"/>
  </x:cols>
  <x:sheetData>
    <x:row r="1" ht="24" hidden="0" customHeight="1">
      <x:c r="A1" s="34" t="str">
        <x:v>Hubba Hubba VCU — 3S–6S STSPIN32G4 Sizing</x:v>
      </x:c>
      <x:c r="B1" s="34" t="str">
        <x:v>Hubba Hubba VCU — 3S–6S STSPIN32G4 Sizing</x:v>
      </x:c>
      <x:c r="C1" s="34" t="str">
        <x:v>Hubba Hubba VCU — 3S–6S STSPIN32G4 Sizing</x:v>
      </x:c>
      <x:c r="D1" s="34" t="str">
        <x:v>Hubba Hubba VCU — 3S–6S STSPIN32G4 Sizing</x:v>
      </x:c>
      <x:c r="E1" s="34" t="str">
        <x:v>Hubba Hubba VCU — 3S–6S STSPIN32G4 Sizing</x:v>
      </x:c>
      <x:c r="F1" s="34" t="str">
        <x:v>Hubba Hubba VCU — 3S–6S STSPIN32G4 Sizing</x:v>
      </x:c>
      <x:c r="G1" s="34" t="str">
        <x:v>Hubba Hubba VCU — 3S–6S STSPIN32G4 Sizing</x:v>
      </x:c>
      <x:c r="H1" s="34" t="str">
        <x:v>Hubba Hubba VCU — 3S–6S STSPIN32G4 Sizing</x:v>
      </x:c>
      <x:c r="I1" s="34" t="str">
        <x:v>Hubba Hubba VCU — 3S–6S STSPIN32G4 Sizing</x:v>
      </x:c>
      <x:c r="J1" s="34" t="str">
        <x:v>Hubba Hubba VCU — 3S–6S STSPIN32G4 Sizing</x:v>
      </x:c>
      <x:c r="K1" s="34" t="str">
        <x:v>Hubba Hubba VCU — 3S–6S STSPIN32G4 Sizing</x:v>
      </x:c>
      <x:c r="L1" s="34" t="str">
        <x:v>Hubba Hubba VCU — 3S–6S STSPIN32G4 Sizing</x:v>
      </x:c>
    </x:row>
    <x:row r="2" ht="15" hidden="0" customHeight="1">
      <x:c r="A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  <x:c r="B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  <x:c r="C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  <x:c r="D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  <x:c r="E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  <x:c r="F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  <x:c r="G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  <x:c r="H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  <x:c r="I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  <x:c r="J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  <x:c r="K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  <x:c r="L2" s="35" t="str">
        <x:v>Pale-green cells are planning inputs. Formula results are first-pass checks for four programmable FOC nodes and do not certify an 80 A continuous ESC. Current domains, timing, effective capacitance and thermal limits remain release gates.</x:v>
      </x:c>
    </x:row>
    <x:row r="3" ht="15" hidden="0" customHeight="1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</x:row>
    <x:row r="4" ht="26.399999618530273" hidden="0" customHeight="1">
      <x:c r="A4" s="38" t="str">
        <x:v>Input</x:v>
      </x:c>
      <x:c r="B4" s="38" t="str">
        <x:v>Value</x:v>
      </x:c>
      <x:c r="C4" s="37"/>
      <x:c r="D4" s="38" t="str">
        <x:v>Calculated check</x:v>
      </x:c>
      <x:c r="E4" s="38" t="str">
        <x:v>Result</x:v>
      </x:c>
      <x:c r="F4" s="37"/>
      <x:c r="G4" s="38" t="str">
        <x:v>Cells</x:v>
      </x:c>
      <x:c r="H4" s="38" t="str">
        <x:v>Nominal V</x:v>
      </x:c>
      <x:c r="I4" s="38" t="str">
        <x:v>Full V</x:v>
      </x:c>
      <x:c r="J4" s="38" t="str">
        <x:v>Ideal no-load rpm</x:v>
      </x:c>
      <x:c r="K4" s="38" t="str">
        <x:v>Electrical Hz</x:v>
      </x:c>
      <x:c r="L4" s="38" t="str">
        <x:v>PWM periods / electrical cycle</x:v>
      </x:c>
    </x:row>
    <x:row r="5" ht="15" hidden="0" customHeight="1">
      <x:c r="A5" s="37" t="str">
        <x:v>Minimum supported series cells</x:v>
      </x:c>
      <x:c r="B5" s="41" t="n">
        <x:v>3</x:v>
      </x:c>
      <x:c r="C5" s="37"/>
      <x:c r="D5" s="37" t="str">
        <x:v>Idealized cold locked-rotor current at 25.2 V (A)</x:v>
      </x:c>
      <x:c r="E5" s="42" t="n">
        <x:f>B8/B19</x:f>
        <x:v>414.47368421052636</x:v>
      </x:c>
      <x:c r="F5" s="37"/>
      <x:c r="G5" s="39" t="n">
        <x:v>3</x:v>
      </x:c>
      <x:c r="H5" s="43" t="n">
        <x:f>G5*$B$34</x:f>
        <x:v>11.100000000000001</x:v>
      </x:c>
      <x:c r="I5" s="43" t="n">
        <x:f>G5*$B$35</x:f>
        <x:v>12.600000000000001</x:v>
      </x:c>
      <x:c r="J5" s="40" t="n">
        <x:f>I5*$B$36</x:f>
        <x:v>6930.000000000001</x:v>
      </x:c>
      <x:c r="K5" s="43" t="n">
        <x:f>J5/60*$B$37</x:f>
        <x:v>808.5000000000001</x:v>
      </x:c>
      <x:c r="L5" s="43" t="n">
        <x:f>$B$25/K5</x:f>
        <x:v>24.73716759431045</x:v>
      </x:c>
    </x:row>
    <x:row r="6" ht="15" hidden="0" customHeight="1">
      <x:c r="A6" s="37" t="str">
        <x:v>Maximum supported series cells</x:v>
      </x:c>
      <x:c r="B6" s="41" t="n">
        <x:v>6</x:v>
      </x:c>
      <x:c r="C6" s="37"/>
      <x:c r="D6" s="37" t="str">
        <x:v>Published-point aggregate current (A)</x:v>
      </x:c>
      <x:c r="E6" s="42" t="n">
        <x:f>B10*B11</x:f>
        <x:v>163.6</x:v>
      </x:c>
      <x:c r="F6" s="37"/>
      <x:c r="G6" s="39" t="n">
        <x:v>4</x:v>
      </x:c>
      <x:c r="H6" s="43" t="n">
        <x:f>G6*$B$34</x:f>
        <x:v>14.8</x:v>
      </x:c>
      <x:c r="I6" s="43" t="n">
        <x:f>G6*$B$35</x:f>
        <x:v>16.8</x:v>
      </x:c>
      <x:c r="J6" s="40" t="n">
        <x:f>I6*$B$36</x:f>
        <x:v>9240</x:v>
      </x:c>
      <x:c r="K6" s="43" t="n">
        <x:f>J6/60*$B$37</x:f>
        <x:v>1078</x:v>
      </x:c>
      <x:c r="L6" s="43" t="n">
        <x:f>$B$25/K6</x:f>
        <x:v>18.552875695732837</x:v>
      </x:c>
    </x:row>
    <x:row r="7" ht="15" hidden="0" customHeight="1">
      <x:c r="A7" s="37" t="str">
        <x:v>3S nominal voltage, derived (V)</x:v>
      </x:c>
      <x:c r="B7" s="44" t="n">
        <x:f>3*B34</x:f>
        <x:v>11.100000000000001</x:v>
      </x:c>
      <x:c r="C7" s="37"/>
      <x:c r="D7" s="37" t="str">
        <x:v>Published-point aggregate power (W)</x:v>
      </x:c>
      <x:c r="E7" s="42" t="n">
        <x:f>B10*B13</x:f>
        <x:v>3640.8</x:v>
      </x:c>
      <x:c r="F7" s="37"/>
      <x:c r="G7" s="39" t="n">
        <x:v>5</x:v>
      </x:c>
      <x:c r="H7" s="43" t="n">
        <x:f>G7*$B$34</x:f>
        <x:v>18.5</x:v>
      </x:c>
      <x:c r="I7" s="43" t="n">
        <x:f>G7*$B$35</x:f>
        <x:v>21</x:v>
      </x:c>
      <x:c r="J7" s="40" t="n">
        <x:f>I7*$B$36</x:f>
        <x:v>11550</x:v>
      </x:c>
      <x:c r="K7" s="43" t="n">
        <x:f>J7/60*$B$37</x:f>
        <x:v>1347.5</x:v>
      </x:c>
      <x:c r="L7" s="43" t="n">
        <x:f>$B$25/K7</x:f>
        <x:v>14.84230055658627</x:v>
      </x:c>
    </x:row>
    <x:row r="8" ht="15" hidden="0" customHeight="1">
      <x:c r="A8" s="37" t="str">
        <x:v>Maximum charged voltage, 6S, derived (V)</x:v>
      </x:c>
      <x:c r="B8" s="44" t="n">
        <x:f>6*B35</x:f>
        <x:v>25.200000000000003</x:v>
      </x:c>
      <x:c r="C8" s="37"/>
      <x:c r="D8" s="37" t="str">
        <x:v>Four-node battery-side power at 40 A and 25.2 V (W)</x:v>
      </x:c>
      <x:c r="E8" s="42" t="n">
        <x:f>B10*B8*B14</x:f>
        <x:v>4032.0000000000005</x:v>
      </x:c>
      <x:c r="F8" s="37"/>
      <x:c r="G8" s="39" t="n">
        <x:v>6</x:v>
      </x:c>
      <x:c r="H8" s="43" t="n">
        <x:f>G8*$B$34</x:f>
        <x:v>22.200000000000003</x:v>
      </x:c>
      <x:c r="I8" s="43" t="n">
        <x:f>G8*$B$35</x:f>
        <x:v>25.200000000000003</x:v>
      </x:c>
      <x:c r="J8" s="40" t="n">
        <x:f>I8*$B$36</x:f>
        <x:v>13860.000000000002</x:v>
      </x:c>
      <x:c r="K8" s="43" t="n">
        <x:f>J8/60*$B$37</x:f>
        <x:v>1617.0000000000002</x:v>
      </x:c>
      <x:c r="L8" s="43" t="n">
        <x:f>$B$25/K8</x:f>
        <x:v>12.368583797155225</x:v>
      </x:c>
    </x:row>
    <x:row r="9" ht="15" hidden="0" customHeight="1">
      <x:c r="A9" s="37" t="str">
        <x:v>Provisional cold/load 3S minimum (V)</x:v>
      </x:c>
      <x:c r="B9" s="41" t="n">
        <x:v>9</x:v>
      </x:c>
      <x:c r="C9" s="37"/>
      <x:c r="D9" s="37" t="str">
        <x:v>One phase-shunt loss at illustrative RMS current (W)</x:v>
      </x:c>
      <x:c r="E9" s="42" t="n">
        <x:f>B20*B15^2</x:f>
        <x:v>0.8</x:v>
      </x:c>
      <x:c r="F9" s="37"/>
      <x:c r="G9" s="37"/>
      <x:c r="H9" s="37"/>
      <x:c r="I9" s="37"/>
      <x:c r="J9" s="37"/>
      <x:c r="K9" s="37"/>
      <x:c r="L9" s="37"/>
    </x:row>
    <x:row r="10" ht="15" hidden="0" customHeight="1">
      <x:c r="A10" s="37" t="str">
        <x:v>Motor / inverter count</x:v>
      </x:c>
      <x:c r="B10" s="41" t="n">
        <x:v>4</x:v>
      </x:c>
      <x:c r="C10" s="37"/>
      <x:c r="D10" s="37" t="str">
        <x:v>One phase-shunt loss at provisional limit (W)</x:v>
      </x:c>
      <x:c r="E10" s="42" t="n">
        <x:f>B20*B16^2</x:f>
        <x:v>1.8</x:v>
      </x:c>
      <x:c r="F10" s="37"/>
      <x:c r="G10" s="37"/>
      <x:c r="H10" s="37"/>
      <x:c r="I10" s="37"/>
      <x:c r="J10" s="37"/>
      <x:c r="K10" s="37"/>
      <x:c r="L10" s="37"/>
    </x:row>
    <x:row r="11" ht="15" hidden="0" customHeight="1">
      <x:c r="A11" s="37" t="str">
        <x:v>Hobbywing published current (A)</x:v>
      </x:c>
      <x:c r="B11" s="41" t="n">
        <x:v>40.9</x:v>
      </x:c>
      <x:c r="C11" s="37"/>
      <x:c r="D11" s="37" t="str">
        <x:v>One phase-shunt loss at transient point (W)</x:v>
      </x:c>
      <x:c r="E11" s="42" t="n">
        <x:f>B20*B18^2</x:f>
        <x:v>3.2</x:v>
      </x:c>
      <x:c r="F11" s="37"/>
      <x:c r="G11" s="37"/>
      <x:c r="H11" s="37"/>
      <x:c r="I11" s="37"/>
      <x:c r="J11" s="37"/>
      <x:c r="K11" s="37"/>
      <x:c r="L11" s="37"/>
    </x:row>
    <x:row r="12" ht="15" hidden="0" customHeight="1">
      <x:c r="A12" s="37" t="str">
        <x:v>Published duration (s)</x:v>
      </x:c>
      <x:c r="B12" s="41" t="n">
        <x:v>46</x:v>
      </x:c>
      <x:c r="C12" s="37"/>
      <x:c r="D12" s="37" t="str">
        <x:v>Fitted phase-current shunts, all nodes</x:v>
      </x:c>
      <x:c r="E12" s="42" t="n">
        <x:f>B10*B39</x:f>
        <x:v>12</x:v>
      </x:c>
      <x:c r="F12" s="37"/>
      <x:c r="G12" s="37"/>
      <x:c r="H12" s="37"/>
      <x:c r="I12" s="37"/>
      <x:c r="J12" s="37"/>
      <x:c r="K12" s="37"/>
      <x:c r="L12" s="37"/>
    </x:row>
    <x:row r="13" ht="15" hidden="0" customHeight="1">
      <x:c r="A13" s="37" t="str">
        <x:v>Published power per motor (W)</x:v>
      </x:c>
      <x:c r="B13" s="41" t="n">
        <x:v>910.2</x:v>
      </x:c>
      <x:c r="C13" s="37"/>
      <x:c r="D13" s="37" t="str">
        <x:v>All phase-shunt loss at illustrative RMS current (W)</x:v>
      </x:c>
      <x:c r="E13" s="42" t="n">
        <x:f>E9*E12</x:f>
        <x:v>9.600000000000001</x:v>
      </x:c>
      <x:c r="F13" s="37"/>
      <x:c r="G13" s="37"/>
      <x:c r="H13" s="37"/>
      <x:c r="I13" s="37"/>
      <x:c r="J13" s="37"/>
      <x:c r="K13" s="37"/>
      <x:c r="L13" s="37"/>
    </x:row>
    <x:row r="14" ht="15" hidden="0" customHeight="1">
      <x:c r="A14" s="37" t="str">
        <x:v>DC operating target per motor branch (A)</x:v>
      </x:c>
      <x:c r="B14" s="41" t="n">
        <x:v>40</x:v>
      </x:c>
      <x:c r="C14" s="37"/>
      <x:c r="D14" s="37" t="str">
        <x:v>Branch shunt loss at DC target (W)</x:v>
      </x:c>
      <x:c r="E14" s="42" t="n">
        <x:f>B21*B14^2</x:f>
        <x:v>0.8</x:v>
      </x:c>
      <x:c r="F14" s="37"/>
      <x:c r="G14" s="37"/>
      <x:c r="H14" s="37"/>
      <x:c r="I14" s="37"/>
      <x:c r="J14" s="37"/>
      <x:c r="K14" s="37"/>
      <x:c r="L14" s="37"/>
    </x:row>
    <x:row r="15" ht="15" hidden="0" customHeight="1">
      <x:c r="A15" s="37" t="str">
        <x:v>Illustrative bridge-path RMS current (A)</x:v>
      </x:c>
      <x:c r="B15" s="41" t="n">
        <x:v>40</x:v>
      </x:c>
      <x:c r="C15" s="37"/>
      <x:c r="D15" s="37" t="str">
        <x:v>Branch shunt loss at transient point (W)</x:v>
      </x:c>
      <x:c r="E15" s="42" t="n">
        <x:f>B21*B18^2</x:f>
        <x:v>3.2</x:v>
      </x:c>
      <x:c r="F15" s="37"/>
      <x:c r="G15" s="37"/>
      <x:c r="H15" s="37"/>
      <x:c r="I15" s="37"/>
      <x:c r="J15" s="37"/>
      <x:c r="K15" s="37"/>
      <x:c r="L15" s="37"/>
    </x:row>
    <x:row r="16" ht="15" hidden="0" customHeight="1">
      <x:c r="A16" s="37" t="str">
        <x:v>Provisional cycle-by-cycle limit (A)</x:v>
      </x:c>
      <x:c r="B16" s="41" t="n">
        <x:v>60</x:v>
      </x:c>
      <x:c r="C16" s="37"/>
      <x:c r="D16" s="37" t="str">
        <x:v>Two-device conducting-path RDS(on) (ohm)</x:v>
      </x:c>
      <x:c r="E16" s="45" t="n">
        <x:f>2*(B22/B23)</x:f>
        <x:v>0.004</x:v>
      </x:c>
      <x:c r="F16" s="37"/>
      <x:c r="G16" s="37"/>
      <x:c r="H16" s="37"/>
      <x:c r="I16" s="37"/>
      <x:c r="J16" s="37"/>
      <x:c r="K16" s="37"/>
      <x:c r="L16" s="37"/>
    </x:row>
    <x:row r="17" ht="15" hidden="0" customHeight="1">
      <x:c r="A17" s="37" t="str">
        <x:v>Provisional hard-trip low (A)</x:v>
      </x:c>
      <x:c r="B17" s="41" t="n">
        <x:v>70</x:v>
      </x:c>
      <x:c r="C17" s="37"/>
      <x:c r="D17" s="37" t="str">
        <x:v>Illustrative bridge conduction loss at RMS input (W)</x:v>
      </x:c>
      <x:c r="E17" s="42" t="n">
        <x:f>E16*B15^2</x:f>
        <x:v>6.4</x:v>
      </x:c>
      <x:c r="F17" s="37"/>
      <x:c r="G17" s="37"/>
      <x:c r="H17" s="37"/>
      <x:c r="I17" s="37"/>
      <x:c r="J17" s="37"/>
      <x:c r="K17" s="37"/>
      <x:c r="L17" s="37"/>
    </x:row>
    <x:row r="18" ht="15" hidden="0" customHeight="1">
      <x:c r="A18" s="37" t="str">
        <x:v>Transient design point / trip high (A)</x:v>
      </x:c>
      <x:c r="B18" s="41" t="n">
        <x:v>80</x:v>
      </x:c>
      <x:c r="C18" s="37"/>
      <x:c r="D18" s="37" t="str">
        <x:v>Illustrative bridge conduction loss at transient point (W)</x:v>
      </x:c>
      <x:c r="E18" s="42" t="n">
        <x:f>E16*B18^2</x:f>
        <x:v>25.6</x:v>
      </x:c>
      <x:c r="F18" s="37"/>
      <x:c r="G18" s="37"/>
      <x:c r="H18" s="37"/>
      <x:c r="I18" s="37"/>
      <x:c r="J18" s="37"/>
      <x:c r="K18" s="37"/>
      <x:c r="L18" s="37"/>
    </x:row>
    <x:row r="19" ht="15" hidden="0" customHeight="1">
      <x:c r="A19" s="37" t="str">
        <x:v>Motor line-line resistance (ohm)</x:v>
      </x:c>
      <x:c r="B19" s="41" t="n">
        <x:v>0.0608</x:v>
      </x:c>
      <x:c r="C19" s="37"/>
      <x:c r="D19" s="37" t="str">
        <x:v>Total fitted DC-link capacitance (F)</x:v>
      </x:c>
      <x:c r="E19" s="46" t="n">
        <x:f>B10*B26/1000000</x:f>
        <x:v>0.00752</x:v>
      </x:c>
      <x:c r="F19" s="37"/>
      <x:c r="G19" s="37"/>
      <x:c r="H19" s="37"/>
      <x:c r="I19" s="37"/>
      <x:c r="J19" s="37"/>
      <x:c r="K19" s="37"/>
      <x:c r="L19" s="37"/>
    </x:row>
    <x:row r="20" ht="15" hidden="0" customHeight="1">
      <x:c r="A20" s="37" t="str">
        <x:v>Phase-current shunt (ohm)</x:v>
      </x:c>
      <x:c r="B20" s="41" t="n">
        <x:v>0.0005</x:v>
      </x:c>
      <x:c r="C20" s="37"/>
      <x:c r="D20" s="37" t="str">
        <x:v>Stored-energy rise, full 6S to modeled upper bus (J)</x:v>
      </x:c>
      <x:c r="E20" s="47" t="n">
        <x:f>0.5*E19*(B38^2-B8^2)</x:f>
        <x:v>1.7816759999999987</x:v>
      </x:c>
      <x:c r="F20" s="37"/>
      <x:c r="G20" s="37"/>
      <x:c r="H20" s="37"/>
      <x:c r="I20" s="37"/>
      <x:c r="J20" s="37"/>
      <x:c r="K20" s="37"/>
      <x:c r="L20" s="37"/>
    </x:row>
    <x:row r="21" ht="15" hidden="0" customHeight="1">
      <x:c r="A21" s="37" t="str">
        <x:v>INA238 branch shunt (ohm)</x:v>
      </x:c>
      <x:c r="B21" s="41" t="n">
        <x:v>0.0005</x:v>
      </x:c>
      <x:c r="C21" s="37"/>
      <x:c r="D21" s="37" t="str">
        <x:v>Worst-case average gate-charge current per node (A)</x:v>
      </x:c>
      <x:c r="E21" s="47" t="n">
        <x:f>6*B24*1E-9*B25</x:f>
        <x:v>0.025320000000000002</x:v>
      </x:c>
      <x:c r="F21" s="37"/>
      <x:c r="G21" s="37"/>
      <x:c r="H21" s="37"/>
      <x:c r="I21" s="37"/>
      <x:c r="J21" s="37"/>
      <x:c r="K21" s="37"/>
      <x:c r="L21" s="37"/>
    </x:row>
    <x:row r="22" ht="15" hidden="0" customHeight="1">
      <x:c r="A22" s="37" t="str">
        <x:v>Single MOSFET conservative max RDS(on), 6 V (ohm)</x:v>
      </x:c>
      <x:c r="B22" s="41" t="n">
        <x:v>0.002</x:v>
      </x:c>
      <x:c r="C22" s="37"/>
      <x:c r="D22" s="37" t="str">
        <x:v>Arithmetic VCC-buck current margin (A)</x:v>
      </x:c>
      <x:c r="E22" s="47" t="n">
        <x:f>B28-E21</x:f>
        <x:v>0.17468</x:v>
      </x:c>
      <x:c r="F22" s="37"/>
      <x:c r="G22" s="37"/>
      <x:c r="H22" s="37"/>
      <x:c r="I22" s="37"/>
      <x:c r="J22" s="37"/>
      <x:c r="K22" s="37"/>
      <x:c r="L22" s="37"/>
    </x:row>
    <x:row r="23" ht="15" hidden="0" customHeight="1">
      <x:c r="A23" s="37" t="str">
        <x:v>MOSFETs per switch position</x:v>
      </x:c>
      <x:c r="B23" s="41" t="n">
        <x:v>1</x:v>
      </x:c>
      <x:c r="C23" s="37"/>
      <x:c r="D23" s="37" t="str">
        <x:v>Ideal Qg / peak-source gate-charge time (ns)</x:v>
      </x:c>
      <x:c r="E23" s="47" t="n">
        <x:f>B24/B27</x:f>
        <x:v>211</x:v>
      </x:c>
      <x:c r="F23" s="37"/>
      <x:c r="G23" s="37"/>
      <x:c r="H23" s="37"/>
      <x:c r="I23" s="37"/>
      <x:c r="J23" s="37"/>
      <x:c r="K23" s="37"/>
      <x:c r="L23" s="37"/>
    </x:row>
    <x:row r="24" ht="15" hidden="0" customHeight="1">
      <x:c r="A24" s="37" t="str">
        <x:v>MOSFET maximum gate charge (nC)</x:v>
      </x:c>
      <x:c r="B24" s="41" t="n">
        <x:v>211</x:v>
      </x:c>
      <x:c r="C24" s="37"/>
      <x:c r="D24" s="37" t="str">
        <x:v>6S ideal no-load electrical frequency (Hz)</x:v>
      </x:c>
      <x:c r="E24" s="42" t="n">
        <x:f>(B36*B8/60)*B37</x:f>
        <x:v>1617.0000000000002</x:v>
      </x:c>
      <x:c r="F24" s="37"/>
      <x:c r="G24" s="37"/>
      <x:c r="H24" s="37"/>
      <x:c r="I24" s="37"/>
      <x:c r="J24" s="37"/>
      <x:c r="K24" s="37"/>
      <x:c r="L24" s="37"/>
    </x:row>
    <x:row r="25" ht="15" hidden="0" customHeight="1">
      <x:c r="A25" s="37" t="str">
        <x:v>Initial PWM planning frequency (Hz)</x:v>
      </x:c>
      <x:c r="B25" s="41" t="n">
        <x:v>20000</x:v>
      </x:c>
      <x:c r="C25" s="37"/>
      <x:c r="D25" s="37" t="str">
        <x:v>PWM periods per electrical cycle at 6S</x:v>
      </x:c>
      <x:c r="E25" s="42" t="n">
        <x:f>B25/E24</x:f>
        <x:v>12.368583797155225</x:v>
      </x:c>
      <x:c r="F25" s="37"/>
      <x:c r="G25" s="37"/>
      <x:c r="H25" s="37"/>
      <x:c r="I25" s="37"/>
      <x:c r="J25" s="37"/>
      <x:c r="K25" s="37"/>
      <x:c r="L25" s="37"/>
    </x:row>
    <x:row r="26" ht="15" hidden="0" customHeight="1">
      <x:c r="A26" s="37" t="str">
        <x:v>Fitted DC-link capacitance per motor node (uF)</x:v>
      </x:c>
      <x:c r="B26" s="41" t="n">
        <x:v>1880</x:v>
      </x:c>
      <x:c r="C26" s="37"/>
      <x:c r="D26" s="37" t="str">
        <x:v>Margin above minimum PWM samples / electrical cycle</x:v>
      </x:c>
      <x:c r="E26" s="48" t="n">
        <x:f>E25/B31-1</x:f>
        <x:v>0.23685837971552237</x:v>
      </x:c>
      <x:c r="F26" s="37"/>
      <x:c r="G26" s="37"/>
      <x:c r="H26" s="37"/>
      <x:c r="I26" s="37"/>
      <x:c r="J26" s="37"/>
      <x:c r="K26" s="37"/>
      <x:c r="L26" s="37"/>
    </x:row>
    <x:row r="27" ht="15" hidden="0" customHeight="1">
      <x:c r="A27" s="37" t="str">
        <x:v>ST gate-driver peak source/sink current (A)</x:v>
      </x:c>
      <x:c r="B27" s="41" t="n">
        <x:v>1</x:v>
      </x:c>
      <x:c r="C27" s="37"/>
      <x:c r="D27" s="37" t="str">
        <x:v>PGA output delta at 40 A phase current (V)</x:v>
      </x:c>
      <x:c r="E27" s="42" t="n">
        <x:f>(B29-1)*B20*B14</x:f>
        <x:v>0.62</x:v>
      </x:c>
      <x:c r="F27" s="37"/>
      <x:c r="G27" s="37"/>
      <x:c r="H27" s="37"/>
      <x:c r="I27" s="37"/>
      <x:c r="J27" s="37"/>
      <x:c r="K27" s="37"/>
      <x:c r="L27" s="37"/>
    </x:row>
    <x:row r="28" ht="15" hidden="0" customHeight="1">
      <x:c r="A28" s="37" t="str">
        <x:v>ST internal VCC buck current budget (A)</x:v>
      </x:c>
      <x:c r="B28" s="41" t="n">
        <x:v>0.2</x:v>
      </x:c>
      <x:c r="C28" s="37"/>
      <x:c r="D28" s="37" t="str">
        <x:v>PGA output delta at 80 A phase current (V)</x:v>
      </x:c>
      <x:c r="E28" s="42" t="n">
        <x:f>(B29-1)*B20*B18</x:f>
        <x:v>1.24</x:v>
      </x:c>
      <x:c r="F28" s="37"/>
      <x:c r="G28" s="37"/>
      <x:c r="H28" s="37"/>
      <x:c r="I28" s="37"/>
      <x:c r="J28" s="37"/>
      <x:c r="K28" s="37"/>
      <x:c r="L28" s="37"/>
    </x:row>
    <x:row r="29" ht="15" hidden="0" customHeight="1">
      <x:c r="A29" s="37" t="str">
        <x:v>Provisional current-sense PGA gain</x:v>
      </x:c>
      <x:c r="B29" s="41" t="n">
        <x:v>32</x:v>
      </x:c>
      <x:c r="C29" s="37"/>
      <x:c r="D29" s="37" t="str">
        <x:v>Ideal positive current range about midscale (A)</x:v>
      </x:c>
      <x:c r="E29" s="42" t="n">
        <x:f>(B30/2)/((B29-1)*B20)</x:f>
        <x:v>106.45161290322581</x:v>
      </x:c>
      <x:c r="F29" s="37"/>
      <x:c r="G29" s="37"/>
      <x:c r="H29" s="37"/>
      <x:c r="I29" s="37"/>
      <x:c r="J29" s="37"/>
      <x:c r="K29" s="37"/>
      <x:c r="L29" s="37"/>
    </x:row>
    <x:row r="30" ht="15" hidden="0" customHeight="1">
      <x:c r="A30" s="37" t="str">
        <x:v>ADC / current-sense reference (V)</x:v>
      </x:c>
      <x:c r="B30" s="41" t="n">
        <x:v>3.3</x:v>
      </x:c>
      <x:c r="C30" s="37"/>
      <x:c r="D30" s="37" t="str">
        <x:v>Estimated central logic input at cold/load minimum (A)</x:v>
      </x:c>
      <x:c r="E30" s="42" t="n">
        <x:f>(5*B32)/(B9*B33)</x:f>
        <x:v>1.0416666666666667</x:v>
      </x:c>
      <x:c r="F30" s="37"/>
      <x:c r="G30" s="37"/>
      <x:c r="H30" s="37"/>
      <x:c r="I30" s="37"/>
      <x:c r="J30" s="37"/>
      <x:c r="K30" s="37"/>
      <x:c r="L30" s="37"/>
    </x:row>
    <x:row r="31" ht="15" hidden="0" customHeight="1">
      <x:c r="A31" s="37" t="str">
        <x:v>Minimum PWM samples per electrical cycle</x:v>
      </x:c>
      <x:c r="B31" s="41" t="n">
        <x:v>10</x:v>
      </x:c>
      <x:c r="C31" s="37"/>
      <x:c r="D31" s="37" t="str">
        <x:v>Arithmetic margin to 2 A logic fuse (A)</x:v>
      </x:c>
      <x:c r="E31" s="42" t="n">
        <x:f>2-E30</x:f>
        <x:v>0.9583333333333333</x:v>
      </x:c>
      <x:c r="F31" s="37"/>
      <x:c r="G31" s="37"/>
      <x:c r="H31" s="37"/>
      <x:c r="I31" s="37"/>
      <x:c r="J31" s="37"/>
      <x:c r="K31" s="37"/>
      <x:c r="L31" s="37"/>
    </x:row>
    <x:row r="32" ht="15" hidden="0" customHeight="1">
      <x:c r="A32" s="37" t="str">
        <x:v>Planning central 5 V logic load (A)</x:v>
      </x:c>
      <x:c r="B32" s="41" t="n">
        <x:v>1.5</x:v>
      </x:c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</x:row>
    <x:row r="33" ht="15" hidden="0" customHeight="1">
      <x:c r="A33" s="37" t="str">
        <x:v>Minimum planning buck efficiency</x:v>
      </x:c>
      <x:c r="B33" s="41" t="n">
        <x:v>0.8</x:v>
      </x:c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</x:row>
    <x:row r="34" ht="15" hidden="0" customHeight="1">
      <x:c r="A34" s="37" t="str">
        <x:v>Nominal cell voltage (V)</x:v>
      </x:c>
      <x:c r="B34" s="41" t="n">
        <x:v>3.7</x:v>
      </x:c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</x:row>
    <x:row r="35" ht="15" hidden="0" customHeight="1">
      <x:c r="A35" s="37" t="str">
        <x:v>Full-charge cell voltage (V)</x:v>
      </x:c>
      <x:c r="B35" s="41" t="n">
        <x:v>4.2</x:v>
      </x:c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</x:row>
    <x:row r="36" ht="15" hidden="0" customHeight="1">
      <x:c r="A36" s="37" t="str">
        <x:v>Motor speed constant (rpm/V)</x:v>
      </x:c>
      <x:c r="B36" s="41" t="n">
        <x:v>550</x:v>
      </x:c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</x:row>
    <x:row r="37" ht="15" hidden="0" customHeight="1">
      <x:c r="A37" s="37" t="str">
        <x:v>Motor pole pairs</x:v>
      </x:c>
      <x:c r="B37" s="41" t="n">
        <x:v>7</x:v>
      </x:c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</x:row>
    <x:row r="38" ht="15" hidden="0" customHeight="1">
      <x:c r="A38" s="37" t="str">
        <x:v>Illustrative upper bus voltage for energy check (V)</x:v>
      </x:c>
      <x:c r="B38" s="41" t="n">
        <x:v>33.3</x:v>
      </x:c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</x:row>
    <x:row r="39" ht="15" hidden="0" customHeight="1">
      <x:c r="A39" s="37" t="str">
        <x:v>Phase-current shunts per motor node</x:v>
      </x:c>
      <x:c r="B39" s="41" t="n">
        <x:v>3</x:v>
      </x:c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</x:row>
    <x:row r="40" ht="15" hidden="0" customHeight="1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</x:row>
    <x:row r="41" ht="15" hidden="0" customHeight="1">
      <x:c r="A41" s="49" t="str">
        <x:v>Interpretation</x:v>
      </x:c>
      <x:c r="B41" s="49" t="str">
        <x:v>Rule</x:v>
      </x:c>
      <x:c r="C41" s="49" t="str"/>
      <x:c r="D41" s="49" t="str"/>
      <x:c r="E41" s="49" t="str"/>
      <x:c r="F41" s="49" t="str"/>
      <x:c r="G41" s="49" t="str"/>
      <x:c r="H41" s="49" t="str"/>
      <x:c r="I41" s="49" t="str"/>
      <x:c r="J41" s="49" t="str"/>
      <x:c r="K41" s="49" t="str"/>
      <x:c r="L41" s="49" t="str"/>
    </x:row>
    <x:row r="42" ht="15" hidden="0" customHeight="1">
      <x:c r="A42" s="39" t="str">
        <x:v>3S–6S</x:v>
      </x:c>
      <x:c r="B42" s="39" t="str">
        <x:v>Operator selects 3, 4, 5 or 6 cells. A cell-aware BMS/monitor enforces chemistry-specific limits; pack voltage alone is not cell-count identification.</x:v>
      </x:c>
      <x:c r="C42" s="39" t="str"/>
      <x:c r="D42" s="39" t="str"/>
      <x:c r="E42" s="39" t="str"/>
      <x:c r="F42" s="39" t="str"/>
      <x:c r="G42" s="39" t="str"/>
      <x:c r="H42" s="39" t="str"/>
      <x:c r="I42" s="39" t="str"/>
      <x:c r="J42" s="39" t="str"/>
      <x:c r="K42" s="39" t="str"/>
      <x:c r="L42" s="39" t="str"/>
    </x:row>
    <x:row r="43" ht="15" hidden="0" customHeight="1">
      <x:c r="A43" s="39" t="str">
        <x:v>40 A</x:v>
      </x:c>
      <x:c r="B43" s="39" t="str">
        <x:v>Battery-side target only; bridge/phase RMS and motor thermal limits remain separate.</x:v>
      </x:c>
      <x:c r="C43" s="39" t="str"/>
      <x:c r="D43" s="39" t="str"/>
      <x:c r="E43" s="39" t="str"/>
      <x:c r="F43" s="39" t="str"/>
      <x:c r="G43" s="39" t="str"/>
      <x:c r="H43" s="39" t="str"/>
      <x:c r="I43" s="39" t="str"/>
      <x:c r="J43" s="39" t="str"/>
      <x:c r="K43" s="39" t="str"/>
      <x:c r="L43" s="39" t="str"/>
    </x:row>
    <x:row r="44" ht="15" hidden="0" customHeight="1">
      <x:c r="A44" s="39" t="str">
        <x:v>80 A</x:v>
      </x:c>
      <x:c r="B44" s="39" t="str">
        <x:v>The 80 A value is a brief design/trip check and roughly twice the expected 40 A draw; it is not a continuous-current claim.</x:v>
      </x:c>
      <x:c r="C44" s="39" t="str"/>
      <x:c r="D44" s="39" t="str"/>
      <x:c r="E44" s="39" t="str"/>
      <x:c r="F44" s="39" t="str"/>
      <x:c r="G44" s="39" t="str"/>
      <x:c r="H44" s="39" t="str"/>
      <x:c r="I44" s="39" t="str"/>
      <x:c r="J44" s="39" t="str"/>
      <x:c r="K44" s="39" t="str"/>
      <x:c r="L44" s="39" t="str"/>
    </x:row>
    <x:row r="45" ht="15" hidden="0" customHeight="1">
      <x:c r="A45" s="39" t="str">
        <x:v>Current domains</x:v>
      </x:c>
      <x:c r="B45" s="39" t="str">
        <x:v>Three phase shunts per node feed the local FOC current loop; the separate INA238/high-side shunt measures slower battery-branch current. Do not equate either with the other.</x:v>
      </x:c>
      <x:c r="C45" s="39" t="str"/>
      <x:c r="D45" s="39" t="str"/>
      <x:c r="E45" s="39" t="str"/>
      <x:c r="F45" s="39" t="str"/>
      <x:c r="G45" s="39" t="str"/>
      <x:c r="H45" s="39" t="str"/>
      <x:c r="I45" s="39" t="str"/>
      <x:c r="J45" s="39" t="str"/>
      <x:c r="K45" s="39" t="str"/>
      <x:c r="L45" s="39" t="str"/>
    </x:row>
    <x:row r="46" ht="15" hidden="0" customHeight="1">
      <x:c r="A46" s="39" t="str">
        <x:v>PGA gain</x:v>
      </x:c>
      <x:c r="B46" s="39" t="str">
        <x:v>Gain 32 with 0.5 mΩ gives about 15.5 mV/A and an ideal ±106 A range about a 1.65 V midpoint. Offset, filtering, sampling window and comparator headroom must be proven.</x:v>
      </x:c>
      <x:c r="C46" s="39" t="str"/>
      <x:c r="D46" s="39" t="str"/>
      <x:c r="E46" s="39" t="str"/>
      <x:c r="F46" s="39" t="str"/>
      <x:c r="G46" s="39" t="str"/>
      <x:c r="H46" s="39" t="str"/>
      <x:c r="I46" s="39" t="str"/>
      <x:c r="J46" s="39" t="str"/>
      <x:c r="K46" s="39" t="str"/>
      <x:c r="L46" s="39" t="str"/>
    </x:row>
    <x:row r="47" ht="15" hidden="0" customHeight="1">
      <x:c r="A47" s="39" t="str">
        <x:v>PWM timing</x:v>
      </x:c>
      <x:c r="B47" s="39" t="str">
        <x:v>At ideal 6S no-load speed, 20 kHz provides only about 12.4 PWM periods per electrical revolution. Final PWM, modulation, ADC triggers and observer bandwidth require bench evidence.</x:v>
      </x:c>
      <x:c r="C47" s="39" t="str"/>
      <x:c r="D47" s="39" t="str"/>
      <x:c r="E47" s="39" t="str"/>
      <x:c r="F47" s="39" t="str"/>
      <x:c r="G47" s="39" t="str"/>
      <x:c r="H47" s="39" t="str"/>
      <x:c r="I47" s="39" t="str"/>
      <x:c r="J47" s="39" t="str"/>
      <x:c r="K47" s="39" t="str"/>
      <x:c r="L47" s="39" t="str"/>
    </x:row>
    <x:row r="48" ht="15" hidden="0" customHeight="1">
      <x:c r="A48" s="39" t="str">
        <x:v>Gate drive</x:v>
      </x:c>
      <x:c r="B48" s="39" t="str">
        <x:v>The 1 A figure is a peak source/sink capability. The arithmetic 0.2 A-minus-gate-charge margin excludes MCU, driver quiescent, transient and loss terms; internal-buck load, switching loss and VFQFPN temperature remain release gates.</x:v>
      </x:c>
      <x:c r="C48" s="39" t="str"/>
      <x:c r="D48" s="39" t="str"/>
      <x:c r="E48" s="39" t="str"/>
      <x:c r="F48" s="39" t="str"/>
      <x:c r="G48" s="39" t="str"/>
      <x:c r="H48" s="39" t="str"/>
      <x:c r="I48" s="39" t="str"/>
      <x:c r="J48" s="39" t="str"/>
      <x:c r="K48" s="39" t="str"/>
      <x:c r="L48" s="39" t="str"/>
    </x:row>
    <x:row r="49" ht="15" hidden="0" customHeight="1">
      <x:c r="A49" s="39" t="str">
        <x:v>Braking</x:v>
      </x:c>
      <x:c r="B49" s="39" t="str">
        <x:v>TVS and fitted DC-link capacitors handle transients only. Regeneration/active spin-down requires proven BMS acceptance and bus control.</x:v>
      </x:c>
      <x:c r="C49" s="39" t="str"/>
      <x:c r="D49" s="39" t="str"/>
      <x:c r="E49" s="39" t="str"/>
      <x:c r="F49" s="39" t="str"/>
      <x:c r="G49" s="39" t="str"/>
      <x:c r="H49" s="39" t="str"/>
      <x:c r="I49" s="39" t="str"/>
      <x:c r="J49" s="39" t="str"/>
      <x:c r="K49" s="39" t="str"/>
      <x:c r="L49" s="39" t="str"/>
    </x:row>
    <x:row r="50" ht="15" hidden="0" customHeight="1">
      <x:c r="A50" s="39" t="str">
        <x:v>Release</x:v>
      </x:c>
      <x:c r="B50" s="39" t="str">
        <x:v>Begin one-node tests at restricted voltage/current; validate boundaries at cold/load 3S and fully charged 6S before four-node testing.</x:v>
      </x:c>
      <x:c r="C50" s="39" t="str"/>
      <x:c r="D50" s="39" t="str"/>
      <x:c r="E50" s="39" t="str"/>
      <x:c r="F50" s="39" t="str"/>
      <x:c r="G50" s="39" t="str"/>
      <x:c r="H50" s="39" t="str"/>
      <x:c r="I50" s="39" t="str"/>
      <x:c r="J50" s="39" t="str"/>
      <x:c r="K50" s="39" t="str"/>
      <x:c r="L50" s="39" t="str"/>
    </x:row>
  </x:sheetData>
  <x:mergeCells>
    <x:mergeCell ref="A1:L1"/>
    <x:mergeCell ref="A2:L2"/>
    <x:mergeCell ref="A41:L41"/>
    <x:mergeCell ref="B42:L42"/>
    <x:mergeCell ref="B43:L43"/>
    <x:mergeCell ref="B44:L44"/>
    <x:mergeCell ref="B45:L45"/>
    <x:mergeCell ref="B46:L46"/>
    <x:mergeCell ref="B47:L47"/>
    <x:mergeCell ref="B48:L48"/>
    <x:mergeCell ref="B49:L49"/>
    <x:mergeCell ref="B50:L5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36" hidden="0" customWidth="1"/>
    <x:col min="4" max="4" width="39" hidden="0" customWidth="1"/>
    <x:col min="5" max="5" width="45" hidden="0" customWidth="1"/>
    <x:col min="6" max="6" width="25" hidden="0" customWidth="1"/>
  </x:cols>
  <x:sheetData>
    <x:row r="1" ht="24" hidden="0" customHeight="1">
      <x:c r="A1" s="34" t="str">
        <x:v>Hubba Hubba VCU — Architecture Map</x:v>
      </x:c>
      <x:c r="B1" s="34" t="str">
        <x:v>Hubba Hubba VCU — Architecture Map</x:v>
      </x:c>
      <x:c r="C1" s="34" t="str">
        <x:v>Hubba Hubba VCU — Architecture Map</x:v>
      </x:c>
      <x:c r="D1" s="34" t="str">
        <x:v>Hubba Hubba VCU — Architecture Map</x:v>
      </x:c>
      <x:c r="E1" s="34" t="str">
        <x:v>Hubba Hubba VCU — Architecture Map</x:v>
      </x:c>
      <x:c r="F1" s="34" t="str">
        <x:v>Hubba Hubba VCU — Architecture Map</x:v>
      </x:c>
    </x:row>
    <x:row r="2" ht="15" hidden="0" customHeight="1">
      <x:c r="A2" s="35" t="str">
        <x:v>One ESP32-S3 supervises four independently programmed STSPIN32G4 FOC nodes. Control uses direct signed PWM, direct observer-derived FG and muxed I2C diagnostics; no CAN/TWAI transceivers or network protocol are required.</x:v>
      </x:c>
      <x:c r="B2" s="35" t="str">
        <x:v>One ESP32-S3 supervises four independently programmed STSPIN32G4 FOC nodes. Control uses direct signed PWM, direct observer-derived FG and muxed I2C diagnostics; no CAN/TWAI transceivers or network protocol are required.</x:v>
      </x:c>
      <x:c r="C2" s="35" t="str">
        <x:v>One ESP32-S3 supervises four independently programmed STSPIN32G4 FOC nodes. Control uses direct signed PWM, direct observer-derived FG and muxed I2C diagnostics; no CAN/TWAI transceivers or network protocol are required.</x:v>
      </x:c>
      <x:c r="D2" s="35" t="str">
        <x:v>One ESP32-S3 supervises four independently programmed STSPIN32G4 FOC nodes. Control uses direct signed PWM, direct observer-derived FG and muxed I2C diagnostics; no CAN/TWAI transceivers or network protocol are required.</x:v>
      </x:c>
      <x:c r="E2" s="35" t="str">
        <x:v>One ESP32-S3 supervises four independently programmed STSPIN32G4 FOC nodes. Control uses direct signed PWM, direct observer-derived FG and muxed I2C diagnostics; no CAN/TWAI transceivers or network protocol are required.</x:v>
      </x:c>
      <x:c r="F2" s="35" t="str">
        <x:v>One ESP32-S3 supervises four independently programmed STSPIN32G4 FOC nodes. Control uses direct signed PWM, direct observer-derived FG and muxed I2C diagnostics; no CAN/TWAI transceivers or network protocol are required.</x:v>
      </x:c>
    </x:row>
    <x:row r="3" ht="15" hidden="0" customHeight="1">
      <x:c r="A3" s="37"/>
      <x:c r="B3" s="37"/>
      <x:c r="C3" s="37"/>
      <x:c r="D3" s="37"/>
      <x:c r="E3" s="37"/>
      <x:c r="F3" s="37"/>
    </x:row>
    <x:row r="4" ht="15" hidden="0" customHeight="1">
      <x:c r="A4" s="38" t="str">
        <x:v>Block</x:v>
      </x:c>
      <x:c r="B4" s="38" t="str">
        <x:v>Count</x:v>
      </x:c>
      <x:c r="C4" s="38" t="str">
        <x:v>Primary part</x:v>
      </x:c>
      <x:c r="D4" s="38" t="str">
        <x:v>Interface</x:v>
      </x:c>
      <x:c r="E4" s="38" t="str">
        <x:v>Fault / safe action</x:v>
      </x:c>
      <x:c r="F4" s="38" t="str">
        <x:v>Status</x:v>
      </x:c>
    </x:row>
    <x:row r="5" ht="26.399999618530273" hidden="0" customHeight="1">
      <x:c r="A5" s="39" t="str">
        <x:v>Vehicle supervisor</x:v>
      </x:c>
      <x:c r="B5" s="39" t="n">
        <x:v>1</x:v>
      </x:c>
      <x:c r="C5" s="39" t="str">
        <x:v>ESP32-S3-WROOM-1U-N16R8</x:v>
      </x:c>
      <x:c r="D5" s="39" t="str">
        <x:v>Receiver, USB, Wi-Fi, SPI, UART, I2C, 4 signed PWM, 4 FG</x:v>
      </x:c>
      <x:c r="E5" s="39" t="str">
        <x:v>Heartbeat/permit loss latches all four fail-low reset-release stages low</x:v>
      </x:c>
      <x:c r="F5" s="39" t="str">
        <x:v>Selected; +65 °C normal ambient</x:v>
      </x:c>
    </x:row>
    <x:row r="6" ht="15" hidden="0" customHeight="1">
      <x:c r="A6" s="39" t="str">
        <x:v>GNSS</x:v>
      </x:c>
      <x:c r="B6" s="39" t="n">
        <x:v>1</x:v>
      </x:c>
      <x:c r="C6" s="39" t="str">
        <x:v>MAX-M10S-00B</x:v>
      </x:c>
      <x:c r="D6" s="39" t="str">
        <x:v>UART + U.FL RF</x:v>
      </x:c>
      <x:c r="E6" s="39" t="str">
        <x:v>Mark stale; drive safety remains independent</x:v>
      </x:c>
      <x:c r="F6" s="39" t="str">
        <x:v>Selected</x:v>
      </x:c>
    </x:row>
    <x:row r="7" ht="15" hidden="0" customHeight="1">
      <x:c r="A7" s="39" t="str">
        <x:v>IMU</x:v>
      </x:c>
      <x:c r="B7" s="39" t="n">
        <x:v>1</x:v>
      </x:c>
      <x:c r="C7" s="39" t="str">
        <x:v>ASM330LHHTR</x:v>
      </x:c>
      <x:c r="D7" s="39" t="str">
        <x:v>Shared SPI + INT</x:v>
      </x:c>
      <x:c r="E7" s="39" t="str">
        <x:v>Torque vectoring falls back to equal requests</x:v>
      </x:c>
      <x:c r="F7" s="39" t="str">
        <x:v>Selected</x:v>
      </x:c>
    </x:row>
    <x:row r="8" ht="15" hidden="0" customHeight="1">
      <x:c r="A8" s="39" t="str">
        <x:v>Storage</x:v>
      </x:c>
      <x:c r="B8" s="39" t="n">
        <x:v>1</x:v>
      </x:c>
      <x:c r="C8" s="39" t="str">
        <x:v>microSD + switched 3V3</x:v>
      </x:c>
      <x:c r="D8" s="39" t="str">
        <x:v>Shared SPI + CS + detect</x:v>
      </x:c>
      <x:c r="E8" s="39" t="str">
        <x:v>Stop logging; never block drive deadlines</x:v>
      </x:c>
      <x:c r="F8" s="39" t="str">
        <x:v>Selected</x:v>
      </x:c>
    </x:row>
    <x:row r="9" ht="26.399999618530273" hidden="0" customHeight="1">
      <x:c r="A9" s="39" t="str">
        <x:v>Motor nodes</x:v>
      </x:c>
      <x:c r="B9" s="39" t="n">
        <x:v>4</x:v>
      </x:c>
      <x:c r="C9" s="39" t="str">
        <x:v>STSPIN32G4 / STM32G431</x:v>
      </x:c>
      <x:c r="D9" s="39" t="str">
        <x:v>Direct signed PWM; muxed diagnostic I2C; individual SWD</x:v>
      </x:c>
      <x:c r="E9" s="39" t="str">
        <x:v>Invalid command, observer or self-test requests zero torque and then gate-safe state</x:v>
      </x:c>
      <x:c r="F9" s="39" t="str">
        <x:v>Selected / firmware required</x:v>
      </x:c>
    </x:row>
    <x:row r="10" ht="15" hidden="0" customHeight="1">
      <x:c r="A10" s="39" t="str">
        <x:v>Power bridges</x:v>
      </x:c>
      <x:c r="B10" s="39" t="n">
        <x:v>4</x:v>
      </x:c>
      <x:c r="C10" s="39" t="str">
        <x:v>6× IPT015N10N5 each</x:v>
      </x:c>
      <x:c r="D10" s="39" t="str">
        <x:v>3-phase U/V/W</x:v>
      </x:c>
      <x:c r="E10" s="39" t="str">
        <x:v>Internal driver fault and TIM1 break force gates low</x:v>
      </x:c>
      <x:c r="F10" s="39" t="str">
        <x:v>Provisional: high gate charge</x:v>
      </x:c>
    </x:row>
    <x:row r="11" ht="26.399999618530273" hidden="0" customHeight="1">
      <x:c r="A11" s="39" t="str">
        <x:v>Fast phase-current sensing</x:v>
      </x:c>
      <x:c r="B11" s="39" t="n">
        <x:v>12</x:v>
      </x:c>
      <x:c r="C11" s="39" t="str">
        <x:v>3× 0.5 mΩ BVN per node</x:v>
      </x:c>
      <x:c r="D11" s="39" t="str">
        <x:v>Kelvin pairs to local op amps, ADCs and comparators</x:v>
      </x:c>
      <x:c r="E11" s="39" t="str">
        <x:v>Cycle-by-cycle limit / TIM1 break is local and independent of ESP32</x:v>
      </x:c>
      <x:c r="F11" s="39" t="str">
        <x:v>Selected value; analog design provisional</x:v>
      </x:c>
    </x:row>
    <x:row r="12" ht="15" hidden="0" customHeight="1">
      <x:c r="A12" s="39" t="str">
        <x:v>Branch monitors</x:v>
      </x:c>
      <x:c r="B12" s="39" t="n">
        <x:v>4</x:v>
      </x:c>
      <x:c r="C12" s="39" t="str">
        <x:v>INA238 + separate 0.5 mΩ shunt</x:v>
      </x:c>
      <x:c r="D12" s="39" t="str">
        <x:v>Muxed I2C</x:v>
      </x:c>
      <x:c r="E12" s="39" t="str">
        <x:v>Envelope fault globally inhibits drive</x:v>
      </x:c>
      <x:c r="F12" s="39" t="str">
        <x:v>Selected</x:v>
      </x:c>
    </x:row>
    <x:row r="13" ht="15" hidden="0" customHeight="1">
      <x:c r="A13" s="39" t="str">
        <x:v>Thermal acquisition</x:v>
      </x:c>
      <x:c r="B13" s="39" t="n">
        <x:v>2</x:v>
      </x:c>
      <x:c r="C13" s="39" t="str">
        <x:v>ADS1115 + eight NTC dividers</x:v>
      </x:c>
      <x:c r="D13" s="39" t="str">
        <x:v>Mux ch4/ch5</x:v>
      </x:c>
      <x:c r="E13" s="39" t="str">
        <x:v>Invalid/stale channel prevents permit or trips drive</x:v>
      </x:c>
      <x:c r="F13" s="39" t="str">
        <x:v>Selected</x:v>
      </x:c>
    </x:row>
    <x:row r="14" ht="26.399999618530273" hidden="0" customHeight="1">
      <x:c r="A14" s="39" t="str">
        <x:v>Speed feedback</x:v>
      </x:c>
      <x:c r="B14" s="39" t="n">
        <x:v>4</x:v>
      </x:c>
      <x:c r="C14" s="39" t="str">
        <x:v>Node-synthesized, externally buffered open-drain FG</x:v>
      </x:c>
      <x:c r="D14" s="39" t="str">
        <x:v>Direct 7-PPR observer-derived pulse capture</x:v>
      </x:c>
      <x:c r="E14" s="39" t="str">
        <x:v>Static FG is invalid outside qualified closed-loop state and never alone proves zero</x:v>
      </x:c>
      <x:c r="F14" s="39" t="str">
        <x:v>Firmware + validation required</x:v>
      </x:c>
    </x:row>
    <x:row r="15" ht="26.399999618530273" hidden="0" customHeight="1">
      <x:c r="A15" s="39" t="str">
        <x:v>Supervisory bus</x:v>
      </x:c>
      <x:c r="B15" s="39" t="n">
        <x:v>1</x:v>
      </x:c>
      <x:c r="C15" s="39" t="str">
        <x:v>TCA9548A + TCA9534A</x:v>
      </x:c>
      <x:c r="D15" s="39" t="str">
        <x:v>Mux ch0–3: node diagnostics + INA; ch4–5: thermal ADCs</x:v>
      </x:c>
      <x:c r="E15" s="39" t="str">
        <x:v>Bus failure inhibits drive; the bus is not the emergency stop path</x:v>
      </x:c>
      <x:c r="F15" s="39" t="str">
        <x:v>Selected</x:v>
      </x:c>
    </x:row>
    <x:row r="16" ht="26.399999618530273" hidden="0" customHeight="1">
      <x:c r="A16" s="39" t="str">
        <x:v>Hardware inhibit</x:v>
      </x:c>
      <x:c r="B16" s="39" t="n">
        <x:v>1</x:v>
      </x:c>
      <x:c r="C16" s="39" t="str">
        <x:v>5× TPS3430 + latch + 4 fail-low reset-release networks</x:v>
      </x:c>
      <x:c r="D16" s="39" t="str">
        <x:v>One central and one per-node watchdog; four local NRST paths</x:v>
      </x:c>
      <x:c r="E16" s="39" t="str">
        <x:v>Power loss, dead supervisor/node or latched hard fault passively returns every NRST low</x:v>
      </x:c>
      <x:c r="F16" s="39" t="str">
        <x:v>Schematic-dependent logic/timing</x:v>
      </x:c>
    </x:row>
    <x:row r="17" ht="15" hidden="0" customHeight="1">
      <x:c r="A17" s="39" t="str">
        <x:v>Power distribution</x:v>
      </x:c>
      <x:c r="B17" s="39" t="n">
        <x:v>1</x:v>
      </x:c>
      <x:c r="C17" s="39" t="str">
        <x:v>External star/PDU</x:v>
      </x:c>
      <x:c r="D17" s="39" t="str">
        <x:v>4 fused paired feeds</x:v>
      </x:c>
      <x:c r="E17" s="39" t="str">
        <x:v>Contactor/E-stop removes traction</x:v>
      </x:c>
      <x:c r="F17" s="39" t="str">
        <x:v>Open system design</x:v>
      </x:c>
    </x:row>
    <x:row r="18" ht="15" hidden="0" customHeight="1">
      <x:c r="A18" s="37"/>
      <x:c r="B18" s="37"/>
      <x:c r="C18" s="37"/>
      <x:c r="D18" s="37"/>
      <x:c r="E18" s="37"/>
      <x:c r="F18" s="37"/>
    </x:row>
    <x:row r="19" ht="15" hidden="0" customHeight="1">
      <x:c r="A19" s="49" t="str">
        <x:v>Interface boundary</x:v>
      </x:c>
      <x:c r="B19" s="49" t="str">
        <x:v>Required content</x:v>
      </x:c>
      <x:c r="C19" s="49" t="str"/>
      <x:c r="D19" s="49" t="str"/>
      <x:c r="E19" s="49" t="str"/>
      <x:c r="F19" s="49" t="str"/>
    </x:row>
    <x:row r="20" ht="15" hidden="0" customHeight="1">
      <x:c r="A20" s="39" t="str">
        <x:v>Signed PWM command</x:v>
      </x:c>
      <x:c r="B20" s="39" t="str">
        <x:v>GPIO38/39/40/41 carry four independent center-neutral torque/current requests. Both stuck rails, bad period/pulse width and stale frames are invalid; update coherently every 20 ms.</x:v>
      </x:c>
      <x:c r="C20" s="39" t="str"/>
      <x:c r="D20" s="39" t="str"/>
      <x:c r="E20" s="39" t="str"/>
      <x:c r="F20" s="39" t="str"/>
    </x:row>
    <x:row r="21" ht="15" hidden="0" customHeight="1">
      <x:c r="A21" s="39" t="str">
        <x:v>Node firmware</x:v>
      </x:c>
      <x:c r="B21" s="39" t="str">
        <x:v>One reviewed STM32G431 motor-node image runs on all four STSPIN32G4s, with documented wheel identity, FOC parameters, current limits, observer, watchdog and fault policy.</x:v>
      </x:c>
      <x:c r="C21" s="39" t="str"/>
      <x:c r="D21" s="39" t="str"/>
      <x:c r="E21" s="39" t="str"/>
      <x:c r="F21" s="39" t="str"/>
    </x:row>
    <x:row r="22" ht="26.399999618530273" hidden="0" customHeight="1">
      <x:c r="A22" s="39" t="str">
        <x:v>I2C diagnostics</x:v>
      </x:c>
      <x:c r="B22" s="39" t="str">
        <x:v>Select one TCA9548A downstream channel at a time. Channels 0–3 each carry STM32 I2C2 on exposed PA8=SDA / PA9=SCL plus one INA238; those two devices must use different frozen/read-back addresses on the same leg. Node addresses may repeat across isolated legs. GPIO48 resets/deselects the mux; recovery requires deliberate rearming.</x:v>
      </x:c>
      <x:c r="C22" s="39" t="str"/>
      <x:c r="D22" s="39" t="str"/>
      <x:c r="E22" s="39" t="str"/>
      <x:c r="F22" s="39" t="str"/>
    </x:row>
    <x:row r="23" ht="15" hidden="0" customHeight="1">
      <x:c r="A23" s="39" t="str">
        <x:v>Internal SiP links</x:v>
      </x:c>
      <x:c r="B23" s="39" t="str">
        <x:v>Gate-driver I2C3 on PC8/PC9 plus READY on PE14 and nFAULT on PE15 are internal STSPIN32G4 connections. They are not package pins, ESP32 signals or devices on the supervisor mux.</x:v>
      </x:c>
      <x:c r="C23" s="39" t="str"/>
      <x:c r="D23" s="39" t="str"/>
      <x:c r="E23" s="39" t="str"/>
      <x:c r="F23" s="39" t="str"/>
    </x:row>
    <x:row r="24" ht="26.399999618530273" hidden="0" customHeight="1">
      <x:c r="A24" s="39" t="str">
        <x:v>Safe state</x:v>
      </x:c>
      <x:c r="B24" s="39" t="str">
        <x:v>Each NRST has passive fail-low bias plus a locally powered, independently supervised controlled-release stage. Energize branches with NRST asserted; release reset only for gate-disabled self-test. Torque permit is separate and follows four healthy self-tests/heartbeats plus vehicle arm. Any hard fault latches NRST low. The FG buffer's Ioff prevents backfeed but is not the reset safety mechanism.</x:v>
      </x:c>
      <x:c r="C24" s="39" t="str"/>
      <x:c r="D24" s="39" t="str"/>
      <x:c r="E24" s="39" t="str"/>
      <x:c r="F24" s="39" t="str"/>
    </x:row>
    <x:row r="25" ht="26.399999618530273" hidden="0" customHeight="1">
      <x:c r="A25" s="39" t="str">
        <x:v>Integrated speed</x:v>
      </x:c>
      <x:c r="B25" s="39" t="str">
        <x:v>Each valid closed-loop observer uses absolute accumulated electrical travel to synthesize one FG rising edge per electrical revolution: 7 PPR mechanically for the 14-pole motor in either rotation direction. FG carries magnitude/frequency only; signed direction is reported through diagnostics. Invalid/low-speed/fault states suppress validity.</x:v>
      </x:c>
      <x:c r="C25" s="39" t="str"/>
      <x:c r="D25" s="39" t="str"/>
      <x:c r="E25" s="39" t="str"/>
      <x:c r="F25" s="39" t="str"/>
    </x:row>
    <x:row r="26" ht="15" hidden="0" customHeight="1">
      <x:c r="A26" s="39" t="str">
        <x:v>Reverse</x:v>
      </x:c>
      <x:c r="B26" s="39" t="str">
        <x:v>Zero command + near-zero phase current + near-zero branch current + valid node stopped state + no recent qualified FG + commissioned coast timeout of at least 120 ms. Quiet FG alone never proves zero.</x:v>
      </x:c>
      <x:c r="C26" s="39" t="str"/>
      <x:c r="D26" s="39" t="str"/>
      <x:c r="E26" s="39" t="str"/>
      <x:c r="F26" s="39" t="str"/>
    </x:row>
    <x:row r="27" ht="15" hidden="0" customHeight="1">
      <x:c r="A27" s="39" t="str">
        <x:v>Battery</x:v>
      </x:c>
      <x:c r="B27" s="39" t="str">
        <x:v>Explicit 3–6 cell setting plus cell-aware BMS/monitor; never auto-detect solely from pack voltage.</x:v>
      </x:c>
      <x:c r="C27" s="39" t="str"/>
      <x:c r="D27" s="39" t="str"/>
      <x:c r="E27" s="39" t="str"/>
      <x:c r="F27" s="39" t="str"/>
    </x:row>
    <x:row r="28" ht="15" hidden="0" customHeight="1">
      <x:c r="A28" s="39" t="str">
        <x:v>External safety</x:v>
      </x:c>
      <x:c r="B28" s="39" t="str">
        <x:v>Main/branch fuses, DC contactor/manual disconnect, E-stop, precharge, PDU, harness and cooling.</x:v>
      </x:c>
      <x:c r="C28" s="39" t="str"/>
      <x:c r="D28" s="39" t="str"/>
      <x:c r="E28" s="39" t="str"/>
      <x:c r="F28" s="39" t="str"/>
    </x:row>
    <x:row r="29" ht="15" hidden="0" customHeight="1">
      <x:c r="A29" s="39" t="str">
        <x:v>Programming</x:v>
      </x:c>
      <x:c r="B29" s="39" t="str">
        <x:v>Each node needs isolated SWDIO, SWCLK, NRST, VTREF/3V3 and GND service pads plus defined BOOT handling. Program and verify with traction isolated.</x:v>
      </x:c>
      <x:c r="C29" s="39" t="str"/>
      <x:c r="D29" s="39" t="str"/>
      <x:c r="E29" s="39" t="str"/>
      <x:c r="F29" s="39" t="str"/>
    </x:row>
  </x:sheetData>
  <x:mergeCells>
    <x:mergeCell ref="A1:F1"/>
    <x:mergeCell ref="A2:F2"/>
    <x:mergeCell ref="A19:F19"/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72" hidden="0" customWidth="1"/>
    <x:col min="4" max="4" width="16" hidden="0" customWidth="1"/>
    <x:col min="5" max="5" width="55" hidden="0" customWidth="1"/>
  </x:cols>
  <x:sheetData>
    <x:row r="1" ht="24" hidden="0" customHeight="1">
      <x:c r="A1" s="34" t="str">
        <x:v>Hubba Hubba VCU — Release Gates</x:v>
      </x:c>
      <x:c r="B1" s="34" t="str">
        <x:v>Hubba Hubba VCU — Release Gates</x:v>
      </x:c>
      <x:c r="C1" s="34" t="str">
        <x:v>Hubba Hubba VCU — Release Gates</x:v>
      </x:c>
      <x:c r="D1" s="34" t="str">
        <x:v>Hubba Hubba VCU — Release Gates</x:v>
      </x:c>
      <x:c r="E1" s="34" t="str">
        <x:v>Hubba Hubba VCU — Release Gates</x:v>
      </x:c>
    </x:row>
    <x:row r="2" ht="15" hidden="0" customHeight="1">
      <x:c r="A2" s="35" t="str">
        <x:v>No traction-battery prototype or road test while an applicable gate is OPEN. Evidence must identify hardware revision, pack/cell count, current domain, temperature and test conditions.</x:v>
      </x:c>
      <x:c r="B2" s="35" t="str">
        <x:v>No traction-battery prototype or road test while an applicable gate is OPEN. Evidence must identify hardware revision, pack/cell count, current domain, temperature and test conditions.</x:v>
      </x:c>
      <x:c r="C2" s="35" t="str">
        <x:v>No traction-battery prototype or road test while an applicable gate is OPEN. Evidence must identify hardware revision, pack/cell count, current domain, temperature and test conditions.</x:v>
      </x:c>
      <x:c r="D2" s="35" t="str">
        <x:v>No traction-battery prototype or road test while an applicable gate is OPEN. Evidence must identify hardware revision, pack/cell count, current domain, temperature and test conditions.</x:v>
      </x:c>
      <x:c r="E2" s="35" t="str">
        <x:v>No traction-battery prototype or road test while an applicable gate is OPEN. Evidence must identify hardware revision, pack/cell count, current domain, temperature and test conditions.</x:v>
      </x:c>
    </x:row>
    <x:row r="3" ht="15" hidden="0" customHeight="1">
      <x:c r="A3" s="37"/>
      <x:c r="B3" s="37"/>
      <x:c r="C3" s="37"/>
      <x:c r="D3" s="37"/>
      <x:c r="E3" s="37"/>
    </x:row>
    <x:row r="4" ht="15" hidden="0" customHeight="1">
      <x:c r="A4" s="38" t="str">
        <x:v>Gate</x:v>
      </x:c>
      <x:c r="B4" s="38" t="str">
        <x:v>Domain</x:v>
      </x:c>
      <x:c r="C4" s="38" t="str">
        <x:v>Acceptance criterion</x:v>
      </x:c>
      <x:c r="D4" s="38" t="str">
        <x:v>Status</x:v>
      </x:c>
      <x:c r="E4" s="38" t="str">
        <x:v>Required evidence</x:v>
      </x:c>
    </x:row>
    <x:row r="5" ht="26.399999618530273" hidden="0" customHeight="1">
      <x:c r="A5" s="39" t="str">
        <x:v>G01</x:v>
      </x:c>
      <x:c r="B5" s="39" t="str">
        <x:v>Battery/BMS</x:v>
      </x:c>
      <x:c r="C5" s="39" t="str">
        <x:v>Freeze supported 3S–6S packs, cell-aware warning/cutoff, fault current and regenerative charge acceptance.</x:v>
      </x:c>
      <x:c r="D5" s="39" t="str">
        <x:v>OPEN</x:v>
      </x:c>
      <x:c r="E5" s="39" t="str">
        <x:v>Selected pack/BMS data sheets and dated hazard review</x:v>
      </x:c>
    </x:row>
    <x:row r="6" ht="26.399999618530273" hidden="0" customHeight="1">
      <x:c r="A6" s="39" t="str">
        <x:v>G02</x:v>
      </x:c>
      <x:c r="B6" s="39" t="str">
        <x:v>Motor-node firmware</x:v>
      </x:c>
      <x:c r="C6" s="39" t="str">
        <x:v>Freeze and review the common STM32G431 image, FOC/observer parameters, diagnostic schema, wheel identity and boot/fault behavior; program and verify every node.</x:v>
      </x:c>
      <x:c r="D6" s="39" t="str">
        <x:v>OPEN</x:v>
      </x:c>
      <x:c r="E6" s="39" t="str">
        <x:v>Versioned source/build, binary hash, configuration rationale and four provisioning readbacks</x:v>
      </x:c>
    </x:row>
    <x:row r="7" ht="26.399999618530273" hidden="0" customHeight="1">
      <x:c r="A7" s="39" t="str">
        <x:v>G03</x:v>
      </x:c>
      <x:c r="B7" s="39" t="str">
        <x:v>Current ratings</x:v>
      </x:c>
      <x:c r="C7" s="39" t="str">
        <x:v>Freeze DC continuous, bridge/phase RMS/peak, current-loop ceiling, hard trip and 70–80 A duration/duty definitions; never present 80 A as continuous.</x:v>
      </x:c>
      <x:c r="D7" s="39" t="str">
        <x:v>OPEN</x:v>
      </x:c>
      <x:c r="E7" s="39" t="str">
        <x:v>Approved limits table with current domains and measurement method</x:v>
      </x:c>
    </x:row>
    <x:row r="8" ht="15" hidden="0" customHeight="1">
      <x:c r="A8" s="39" t="str">
        <x:v>G04</x:v>
      </x:c>
      <x:c r="B8" s="39" t="str">
        <x:v>Motor characterization</x:v>
      </x:c>
      <x:c r="C8" s="39" t="str">
        <x:v>Measure R/L/KV/BEMF, phase/DC current, no-load behavior and loaded thermal limits.</x:v>
      </x:c>
      <x:c r="D8" s="39" t="str">
        <x:v>OPEN</x:v>
      </x:c>
      <x:c r="E8" s="39" t="str">
        <x:v>Raw test files, instruments and signed report</x:v>
      </x:c>
    </x:row>
    <x:row r="9" ht="15" hidden="0" customHeight="1">
      <x:c r="A9" s="39" t="str">
        <x:v>G05</x:v>
      </x:c>
      <x:c r="B9" s="39" t="str">
        <x:v>Sensorless operation</x:v>
      </x:c>
      <x:c r="C9" s="39" t="str">
        <x:v>Prove loaded launch, crawl, moving restart, BEMF handoff and zero-speed reverse at 3S and 6S.</x:v>
      </x:c>
      <x:c r="D9" s="39" t="str">
        <x:v>OPEN</x:v>
      </x:c>
      <x:c r="E9" s="39" t="str">
        <x:v>Dyno traces over voltage/load/temperature</x:v>
      </x:c>
    </x:row>
    <x:row r="10" ht="26.399999618530273" hidden="0" customHeight="1">
      <x:c r="A10" s="39" t="str">
        <x:v>G06</x:v>
      </x:c>
      <x:c r="B10" s="39" t="str">
        <x:v>Current protection</x:v>
      </x:c>
      <x:c r="C10" s="39" t="str">
        <x:v>Prove all three phase-shunt channels, gain-32 starting point, offset calibration, comparator/TIM1-break path, VDS settings, blanking and response independent of the ESP32.</x:v>
      </x:c>
      <x:c r="D10" s="39" t="str">
        <x:v>OPEN</x:v>
      </x:c>
      <x:c r="E10" s="39" t="str">
        <x:v>Tolerance analysis plus injected-fault scope captures on each node</x:v>
      </x:c>
    </x:row>
    <x:row r="11" ht="26.399999618530273" hidden="0" customHeight="1">
      <x:c r="A11" s="39" t="str">
        <x:v>G07</x:v>
      </x:c>
      <x:c r="B11" s="39" t="str">
        <x:v>Gate drive</x:v>
      </x:c>
      <x:c r="C11" s="39" t="str">
        <x:v>Choose PWM, dead time and source/sink network from the 211 nC maximum-Qg analysis, internal-buck budget and double-pulse testing at cold/hot.</x:v>
      </x:c>
      <x:c r="D11" s="39" t="str">
        <x:v>OPEN</x:v>
      </x:c>
      <x:c r="E11" s="39" t="str">
        <x:v>Gate/VDS/current captures, VCC load and switching/conduction loss model</x:v>
      </x:c>
    </x:row>
    <x:row r="12" ht="26.399999618530273" hidden="0" customHeight="1">
      <x:c r="A12" s="39" t="str">
        <x:v>G08</x:v>
      </x:c>
      <x:c r="B12" s="39" t="str">
        <x:v>DC-link overshoot</x:v>
      </x:c>
      <x:c r="C12" s="39" t="str">
        <x:v>Keep FETs, capacitors, STSPIN32G4 and monitors inside documented derated limits for all 3S–6S transients.</x:v>
      </x:c>
      <x:c r="D12" s="39" t="str">
        <x:v>OPEN</x:v>
      </x:c>
      <x:c r="E12" s="39" t="str">
        <x:v>Stall, braking, fuse and contactor captures</x:v>
      </x:c>
    </x:row>
    <x:row r="13" ht="15" hidden="0" customHeight="1">
      <x:c r="A13" s="39" t="str">
        <x:v>G09</x:v>
      </x:c>
      <x:c r="B13" s="39" t="str">
        <x:v>Braking energy</x:v>
      </x:c>
      <x:c r="C13" s="39" t="str">
        <x:v>Freeze coast/brake/active-spin-down/regen policy and size a chopper if required.</x:v>
      </x:c>
      <x:c r="D13" s="39" t="str">
        <x:v>OPEN</x:v>
      </x:c>
      <x:c r="E13" s="39" t="str">
        <x:v>Full-6S/BMS-rejection energy test</x:v>
      </x:c>
    </x:row>
    <x:row r="14" ht="26.399999618530273" hidden="0" customHeight="1">
      <x:c r="A14" s="39" t="str">
        <x:v>G10</x:v>
      </x:c>
      <x:c r="B14" s="39" t="str">
        <x:v>Power-stage thermal</x:v>
      </x:c>
      <x:c r="C14" s="39" t="str">
        <x:v>Validate all eight ADS1115/NTC channels, fault detection and thresholds; pass restricted-current workup then 40 A duty soak.</x:v>
      </x:c>
      <x:c r="D14" s="39" t="str">
        <x:v>OPEN</x:v>
      </x:c>
      <x:c r="E14" s="39" t="str">
        <x:v>ADC calibration/fault injection plus instrumented hotspot and motor temperatures</x:v>
      </x:c>
    </x:row>
    <x:row r="15" ht="15" hidden="0" customHeight="1">
      <x:c r="A15" s="39" t="str">
        <x:v>G11</x:v>
      </x:c>
      <x:c r="B15" s="39" t="str">
        <x:v>Power distribution</x:v>
      </x:c>
      <x:c r="C15" s="39" t="str">
        <x:v>Validate fuse coordination, contactor, precharge, busbars, cables, terminals and interruption.</x:v>
      </x:c>
      <x:c r="D15" s="39" t="str">
        <x:v>OPEN</x:v>
      </x:c>
      <x:c r="E15" s="39" t="str">
        <x:v>Protection study and four-node load temperature/drop test</x:v>
      </x:c>
    </x:row>
    <x:row r="16" ht="39.599998474121094" hidden="0" customHeight="1">
      <x:c r="A16" s="39" t="str">
        <x:v>G12</x:v>
      </x:c>
      <x:c r="B16" s="39" t="str">
        <x:v>Fail-safe timing</x:v>
      </x:c>
      <x:c r="C16" s="39" t="str">
        <x:v>Prove passive fail-low behavior and all four controlled NRST-release stages for reset, brownout, stuck command low/high, each of five watchdogs, internal driver fault, dead local/central 3V3, I2C failure and broken permit. Prove gate-disabled self-test release cannot grant torque.</x:v>
      </x:c>
      <x:c r="D16" s="39" t="str">
        <x:v>OPEN</x:v>
      </x:c>
      <x:c r="E16" s="39" t="str">
        <x:v>Truth table, measured time-to-gates-off, reset-state proof and partial-power-down test for every fault</x:v>
      </x:c>
    </x:row>
    <x:row r="17" ht="39.599998474121094" hidden="0" customHeight="1">
      <x:c r="A17" s="39" t="str">
        <x:v>G13</x:v>
      </x:c>
      <x:c r="B17" s="39" t="str">
        <x:v>RPM/FG</x:v>
      </x:c>
      <x:c r="C17" s="39" t="str">
        <x:v>Validate all four observer-derived 7-PPR FG outputs against optical tach through forced startup, observer handoff, run, coast and braking; establish validity rules, lowest trustworthy speed and reverse timeout.</x:v>
      </x:c>
      <x:c r="D17" s="39" t="str">
        <x:v>OPEN</x:v>
      </x:c>
      <x:c r="E17" s="39" t="str">
        <x:v>Per-wheel traces, observer-state correlation and PPR/timeout record</x:v>
      </x:c>
    </x:row>
    <x:row r="18" ht="15" hidden="0" customHeight="1">
      <x:c r="A18" s="39" t="str">
        <x:v>G14</x:v>
      </x:c>
      <x:c r="B18" s="39" t="str">
        <x:v>Four-node EMI</x:v>
      </x:c>
      <x:c r="C18" s="39" t="str">
        <x:v>Test receiver, IMU, GNSS, Wi-Fi, USB, I2C and microSD with all bridges switching.</x:v>
      </x:c>
      <x:c r="D18" s="39" t="str">
        <x:v>OPEN</x:v>
      </x:c>
      <x:c r="E18" s="39" t="str">
        <x:v>Conducted/radiated and subsystem error logs</x:v>
      </x:c>
    </x:row>
    <x:row r="19" ht="15" hidden="0" customHeight="1">
      <x:c r="A19" s="39" t="str">
        <x:v>G15</x:v>
      </x:c>
      <x:c r="B19" s="39" t="str">
        <x:v>GNSS RF</x:v>
      </x:c>
      <x:c r="C19" s="39" t="str">
        <x:v>Simulate and measure U.FL, ESD, matching footprints and controlled-impedance path.</x:v>
      </x:c>
      <x:c r="D19" s="39" t="str">
        <x:v>OPEN</x:v>
      </x:c>
      <x:c r="E19" s="39" t="str">
        <x:v>VNA S-parameters plus sensitivity/coexistence evidence</x:v>
      </x:c>
    </x:row>
    <x:row r="20" ht="26.399999618530273" hidden="0" customHeight="1">
      <x:c r="A20" s="39" t="str">
        <x:v>G16</x:v>
      </x:c>
      <x:c r="B20" s="39" t="str">
        <x:v>Schematic/PCB</x:v>
      </x:c>
      <x:c r="C20" s="39" t="str">
        <x:v>Complete ERC, independent motor-drive review, 64-pin/pad-65 audit and JLCPCB VFQFPN paste/via/inspection process check.</x:v>
      </x:c>
      <x:c r="D20" s="39" t="str">
        <x:v>OPEN</x:v>
      </x:c>
      <x:c r="E20" s="39" t="str">
        <x:v>Reviewed schematic/layout, land-pattern comparison, first-article X-ray plan and closed issue list</x:v>
      </x:c>
    </x:row>
    <x:row r="21" ht="26.399999618530273" hidden="0" customHeight="1">
      <x:c r="A21" s="39" t="str">
        <x:v>G17</x:v>
      </x:c>
      <x:c r="B21" s="39" t="str">
        <x:v>Procurement/handoff</x:v>
      </x:c>
      <x:c r="C21" s="39" t="str">
        <x:v>Recheck exact MPN/LCSC/footprint/lifecycle and synchronize CODE_HANDOFF with released interfaces.</x:v>
      </x:c>
      <x:c r="D21" s="39" t="str">
        <x:v>OPEN</x:v>
      </x:c>
      <x:c r="E21" s="39" t="str">
        <x:v>Dated BOM, footprint audit and versioned handoff</x:v>
      </x:c>
    </x:row>
    <x:row r="22" ht="39.599998474121094" hidden="0" customHeight="1">
      <x:c r="A22" s="39" t="str">
        <x:v>G18</x:v>
      </x:c>
      <x:c r="B22" s="39" t="str">
        <x:v>BOM completion</x:v>
      </x:c>
      <x:c r="C22" s="39" t="str">
        <x:v>Explode every schematic-dependent current-sense, VDS, filter, divider, regulator, fail-low reset-release and latch network into exact MPN, LCSC number and fitted quantity; no required placeholder may remain.</x:v>
      </x:c>
      <x:c r="D22" s="39" t="str">
        <x:v>OPEN</x:v>
      </x:c>
      <x:c r="E22" s="39" t="str">
        <x:v>Released schematic-derived production BOM and independent cross-check</x:v>
      </x:c>
    </x:row>
    <x:row r="23" ht="39.599998474121094" hidden="0" customHeight="1">
      <x:c r="A23" s="39" t="str">
        <x:v>G19</x:v>
      </x:c>
      <x:c r="B23" s="39" t="str">
        <x:v>Supervisor thermal</x:v>
      </x:c>
      <x:c r="C23" s="39" t="str">
        <x:v>Keep the ESP32-S3-WROOM-1U-N16R8 environment at or below its normal +65 °C ambient ceiling, or explicitly enable/qualify PSRAM ECC for +85 °C and accept the documented 1/16 usable-PSRAM reduction.</x:v>
      </x:c>
      <x:c r="D23" s="39" t="str">
        <x:v>OPEN</x:v>
      </x:c>
      <x:c r="E23" s="39" t="str">
        <x:v>Instrumented worst-case four-inverter thermal test plus released ESP configuration and memory budget</x:v>
      </x:c>
    </x:row>
  </x:sheetData>
  <x:mergeCells>
    <x:mergeCell ref="A1:E1"/>
    <x:mergeCell ref="A2:E2"/>
  </x:mergeCells>
  <x:conditionalFormatting sqref="D5:D23">
    <x:cfRule type="containsText" dxfId="3" priority="1" operator="containsText" text="OPEN"/>
    <x:cfRule type="containsText" dxfId="4" priority="2" operator="containsText" text="CLOSED"/>
  </x:conditionalFormatting>
  <x:dataValidations count="1">
    <x:dataValidation type="list" sqref="D5:D23">
      <x:formula1>"OPEN,IN PROGRESS,CLOSED,N/A"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92509aa36a48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64" hidden="0" customWidth="1"/>
    <x:col min="4" max="4" width="24" hidden="0" customWidth="1"/>
    <x:col min="5" max="5" width="48" hidden="0" customWidth="1"/>
  </x:cols>
  <x:sheetData>
    <x:row r="1" ht="24" hidden="0" customHeight="1">
      <x:c r="A1" s="34" t="str">
        <x:v>Hubba Hubba VCU — Required System Items</x:v>
      </x:c>
      <x:c r="B1" s="34" t="str">
        <x:v>Hubba Hubba VCU — Required System Items</x:v>
      </x:c>
      <x:c r="C1" s="34" t="str">
        <x:v>Hubba Hubba VCU — Required System Items</x:v>
      </x:c>
      <x:c r="D1" s="34" t="str">
        <x:v>Hubba Hubba VCU — Required System Items</x:v>
      </x:c>
      <x:c r="E1" s="34" t="str">
        <x:v>Hubba Hubba VCU — Required System Items</x:v>
      </x:c>
    </x:row>
    <x:row r="2" ht="15" hidden="0" customHeight="1">
      <x:c r="A2" s="35" t="str">
        <x:v>Necessary vehicle items that are not automatically fitted by JLCPCB. Their ratings and selection are part of the safety case.</x:v>
      </x:c>
      <x:c r="B2" s="35" t="str">
        <x:v>Necessary vehicle items that are not automatically fitted by JLCPCB. Their ratings and selection are part of the safety case.</x:v>
      </x:c>
      <x:c r="C2" s="35" t="str">
        <x:v>Necessary vehicle items that are not automatically fitted by JLCPCB. Their ratings and selection are part of the safety case.</x:v>
      </x:c>
      <x:c r="D2" s="35" t="str">
        <x:v>Necessary vehicle items that are not automatically fitted by JLCPCB. Their ratings and selection are part of the safety case.</x:v>
      </x:c>
      <x:c r="E2" s="35" t="str">
        <x:v>Necessary vehicle items that are not automatically fitted by JLCPCB. Their ratings and selection are part of the safety case.</x:v>
      </x:c>
    </x:row>
    <x:row r="3" ht="15" hidden="0" customHeight="1">
      <x:c r="A3" s="37"/>
      <x:c r="B3" s="37"/>
      <x:c r="C3" s="37"/>
      <x:c r="D3" s="37"/>
      <x:c r="E3" s="37"/>
    </x:row>
    <x:row r="4" ht="15" hidden="0" customHeight="1">
      <x:c r="A4" s="38" t="str">
        <x:v>Item</x:v>
      </x:c>
      <x:c r="B4" s="38" t="str">
        <x:v>Need</x:v>
      </x:c>
      <x:c r="C4" s="38" t="str">
        <x:v>Requirement</x:v>
      </x:c>
      <x:c r="D4" s="38" t="str">
        <x:v>Selection status</x:v>
      </x:c>
      <x:c r="E4" s="38" t="str">
        <x:v>Notes</x:v>
      </x:c>
    </x:row>
    <x:row r="5" ht="26.399999618530273" hidden="0" customHeight="1">
      <x:c r="A5" s="39" t="str">
        <x:v>3S–6S traction battery</x:v>
      </x:c>
      <x:c r="B5" s="39" t="str">
        <x:v>Required</x:v>
      </x:c>
      <x:c r="C5" s="39" t="str">
        <x:v>Known series-cell count; documented continuous/pulse/fault current</x:v>
      </x:c>
      <x:c r="D5" s="39" t="str">
        <x:v>User/system selected</x:v>
      </x:c>
      <x:c r="E5" s="39" t="str">
        <x:v>Cell count is explicit configuration, never voltage-only auto-detection</x:v>
      </x:c>
    </x:row>
    <x:row r="6" ht="26.399999618530273" hidden="0" customHeight="1">
      <x:c r="A6" s="39" t="str">
        <x:v>Cell-aware BMS / low-voltage monitor</x:v>
      </x:c>
      <x:c r="B6" s="39" t="str">
        <x:v>Required</x:v>
      </x:c>
      <x:c r="C6" s="39" t="str">
        <x:v>Supports selected 3–6S pack, per-cell cutoff and charge-acceptance status</x:v>
      </x:c>
      <x:c r="D6" s="39" t="str">
        <x:v>Open</x:v>
      </x:c>
      <x:c r="E6" s="39" t="str">
        <x:v>STSPIN32G4 supply protection and total-pack telemetry are not per-cell LiPo protection</x:v>
      </x:c>
    </x:row>
    <x:row r="7" ht="15" hidden="0" customHeight="1">
      <x:c r="A7" s="39" t="str">
        <x:v>Main pack fuse</x:v>
      </x:c>
      <x:c r="B7" s="39" t="str">
        <x:v>Required</x:v>
      </x:c>
      <x:c r="C7" s="39" t="str">
        <x:v>Close to battery; coordinated with four branches and pack fault current</x:v>
      </x:c>
      <x:c r="D7" s="39" t="str">
        <x:v>Open</x:v>
      </x:c>
      <x:c r="E7" s="39" t="str">
        <x:v>Separate from provisional 60 A branch fuses</x:v>
      </x:c>
    </x:row>
    <x:row r="8" ht="39.599998474121094" hidden="0" customHeight="1">
      <x:c r="A8" s="39" t="str">
        <x:v>DC contactor/manual disconnect</x:v>
      </x:c>
      <x:c r="B8" s="39" t="str">
        <x:v>Required</x:v>
      </x:c>
      <x:c r="C8" s="39" t="str">
        <x:v>DC-rated for voltage, load and fault interruption</x:v>
      </x:c>
      <x:c r="D8" s="39" t="str">
        <x:v>Open</x:v>
      </x:c>
      <x:c r="E8" s="39" t="str">
        <x:v>Physical E-stop controls it independently; normal boot energizes the four branches only while every node NRST remains passively asserted</x:v>
      </x:c>
    </x:row>
    <x:row r="9" ht="15" hidden="0" customHeight="1">
      <x:c r="A9" s="39" t="str">
        <x:v>E-stop</x:v>
      </x:c>
      <x:c r="B9" s="39" t="str">
        <x:v>Required</x:v>
      </x:c>
      <x:c r="C9" s="39" t="str">
        <x:v>Accessible fail-safe contactor control</x:v>
      </x:c>
      <x:c r="D9" s="39" t="str">
        <x:v>Open</x:v>
      </x:c>
      <x:c r="E9" s="39" t="str">
        <x:v>Software/controlled braking is not the only stop path</x:v>
      </x:c>
    </x:row>
    <x:row r="10" ht="15" hidden="0" customHeight="1">
      <x:c r="A10" s="39" t="str">
        <x:v>Precharge / anti-spark</x:v>
      </x:c>
      <x:c r="B10" s="39" t="str">
        <x:v>Required</x:v>
      </x:c>
      <x:c r="C10" s="39" t="str">
        <x:v>Sized for 7.52 mF fitted link plus tolerance and optional additions</x:v>
      </x:c>
      <x:c r="D10" s="39" t="str">
        <x:v>Open</x:v>
      </x:c>
      <x:c r="E10" s="39" t="str">
        <x:v>Prevents connector arcing and inrush</x:v>
      </x:c>
    </x:row>
    <x:row r="11" ht="15" hidden="0" customHeight="1">
      <x:c r="A11" s="39" t="str">
        <x:v>Star PDU / busbar</x:v>
      </x:c>
      <x:c r="B11" s="39" t="str">
        <x:v>Required</x:v>
      </x:c>
      <x:c r="C11" s="39" t="str">
        <x:v>Four short, individually fused paired feeds; no ordinary PCB aggregate trunk</x:v>
      </x:c>
      <x:c r="D11" s="39" t="str">
        <x:v>Open</x:v>
      </x:c>
      <x:c r="E11" s="39" t="str">
        <x:v>Design from at least 163.6 A published-point aggregate</x:v>
      </x:c>
    </x:row>
    <x:row r="12" ht="15" hidden="0" customHeight="1">
      <x:c r="A12" s="39" t="str">
        <x:v>Branch harness and lugs</x:v>
      </x:c>
      <x:c r="B12" s="39" t="str">
        <x:v>Required</x:v>
      </x:c>
      <x:c r="C12" s="39" t="str">
        <x:v>Gauge, insulation, temperature and drop from measured duty</x:v>
      </x:c>
      <x:c r="D12" s="39" t="str">
        <x:v>Open</x:v>
      </x:c>
      <x:c r="E12" s="39" t="str">
        <x:v>Motor 16 AWG leads do not define the whole harness</x:v>
      </x:c>
    </x:row>
    <x:row r="13" ht="15" hidden="0" customHeight="1">
      <x:c r="A13" s="39" t="str">
        <x:v>Heatsink/baseplate/interface</x:v>
      </x:c>
      <x:c r="B13" s="39" t="str">
        <x:v>Required</x:v>
      </x:c>
      <x:c r="C13" s="39" t="str">
        <x:v>Defined pressure, isolation, material, airflow and sensors</x:v>
      </x:c>
      <x:c r="D13" s="39" t="str">
        <x:v>Open</x:v>
      </x:c>
      <x:c r="E13" s="39" t="str">
        <x:v>TOLL devices need a proven bottom-side thermal path</x:v>
      </x:c>
    </x:row>
    <x:row r="14" ht="26.399999618530273" hidden="0" customHeight="1">
      <x:c r="A14" s="39" t="str">
        <x:v>External servo/BEC supply</x:v>
      </x:c>
      <x:c r="B14" s="39" t="str">
        <x:v>Required</x:v>
      </x:c>
      <x:c r="C14" s="39" t="str">
        <x:v>Servo-rated regulated rail, connector and return sized from measured stall current</x:v>
      </x:c>
      <x:c r="D14" s="39" t="str">
        <x:v>Open</x:v>
      </x:c>
      <x:c r="E14" s="39" t="str">
        <x:v>VCU carries buffered command only; do not power servo from ESP32 rail</x:v>
      </x:c>
    </x:row>
    <x:row r="15" ht="15" hidden="0" customHeight="1">
      <x:c r="A15" s="39" t="str">
        <x:v>Brake chopper/resistor</x:v>
      </x:c>
      <x:c r="B15" s="39" t="str">
        <x:v>Conditional</x:v>
      </x:c>
      <x:c r="C15" s="39" t="str">
        <x:v>Required if selected pack/BMS cannot accept defined stop energy</x:v>
      </x:c>
      <x:c r="D15" s="39" t="str">
        <x:v>Open decision</x:v>
      </x:c>
      <x:c r="E15" s="39" t="str">
        <x:v>TVS is not a dump resistor</x:v>
      </x:c>
    </x:row>
    <x:row r="16" ht="15" hidden="0" customHeight="1">
      <x:c r="A16" s="39" t="str">
        <x:v>2.4 GHz Wi-Fi antenna</x:v>
      </x:c>
      <x:c r="B16" s="39" t="str">
        <x:v>Required</x:v>
      </x:c>
      <x:c r="C16" s="39" t="str">
        <x:v>Compatible with WROOM-1U connector/cable and enclosure</x:v>
      </x:c>
      <x:c r="D16" s="39" t="str">
        <x:v>User/system selected</x:v>
      </x:c>
      <x:c r="E16" s="39" t="str">
        <x:v>Keep clear of power switching</x:v>
      </x:c>
    </x:row>
    <x:row r="17" ht="15" hidden="0" customHeight="1">
      <x:c r="A17" s="39" t="str">
        <x:v>GNSS antenna</x:v>
      </x:c>
      <x:c r="B17" s="39" t="str">
        <x:v>Required</x:v>
      </x:c>
      <x:c r="C17" s="39" t="str">
        <x:v>Compatible passive/active antenna; bias only if required</x:v>
      </x:c>
      <x:c r="D17" s="39" t="str">
        <x:v>User/system selected</x:v>
      </x:c>
      <x:c r="E17" s="39" t="str">
        <x:v>Validate sensitivity with all inverters switching</x:v>
      </x:c>
    </x:row>
    <x:row r="18" ht="15" hidden="0" customHeight="1">
      <x:c r="A18" s="39" t="str">
        <x:v>microSD card</x:v>
      </x:c>
      <x:c r="B18" s="39" t="str">
        <x:v>Required for logging</x:v>
      </x:c>
      <x:c r="C18" s="39" t="str">
        <x:v>High-endurance card and documented filesystem policy</x:v>
      </x:c>
      <x:c r="D18" s="39" t="str">
        <x:v>User supplied</x:v>
      </x:c>
      <x:c r="E18" s="39" t="str">
        <x:v>Never autoformat</x:v>
      </x:c>
    </x:row>
    <x:row r="19" ht="15" hidden="0" customHeight="1">
      <x:c r="A19" s="39" t="str">
        <x:v>Four motors</x:v>
      </x:c>
      <x:c r="B19" s="39" t="str">
        <x:v>Existing</x:v>
      </x:c>
      <x:c r="C19" s="39" t="str">
        <x:v>Hobbywing Skywalker 2820SL 550KV, 12N14P</x:v>
      </x:c>
      <x:c r="D19" s="39" t="str">
        <x:v>Known</x:v>
      </x:c>
      <x:c r="E19" s="39" t="str">
        <x:v>Motor characterization remains required</x:v>
      </x:c>
    </x:row>
    <x:row r="20" ht="39.599998474121094" hidden="0" customHeight="1">
      <x:c r="A20" s="39" t="str">
        <x:v>ST-LINK/V3 programmer and four-target pogo fixture</x:v>
      </x:c>
      <x:c r="B20" s="39" t="str">
        <x:v>Required tooling</x:v>
      </x:c>
      <x:c r="C20" s="39" t="str">
        <x:v>Individually access SWDIO, SWCLK, NRST, VTREF/3V3 and GND without backfeeding other nodes</x:v>
      </x:c>
      <x:c r="D20" s="39" t="str">
        <x:v>Open</x:v>
      </x:c>
      <x:c r="E20" s="39" t="str">
        <x:v>Program, verify and record the common STM32G431 image with traction isolated using a qualified isolated local-rail fixture supply; do not hard-parallel SWD targets</x:v>
      </x:c>
    </x:row>
    <x:row r="21" ht="26.399999618530273" hidden="0" customHeight="1">
      <x:c r="A21" s="39" t="str">
        <x:v>Motor-node firmware release artifact</x:v>
      </x:c>
      <x:c r="B21" s="39" t="str">
        <x:v>Required</x:v>
      </x:c>
      <x:c r="C21" s="39" t="str">
        <x:v>One reviewed common image plus hash, wheel-identity method, configuration/calibration schema and provisioning record</x:v>
      </x:c>
      <x:c r="D21" s="39" t="str">
        <x:v>Open</x:v>
      </x:c>
      <x:c r="E21" s="39" t="str">
        <x:v>All four embedded STM32G431 devices must be programmed before drive can operate</x:v>
      </x:c>
    </x:row>
    <x:row r="22" ht="26.399999618530273" hidden="0" customHeight="1">
      <x:c r="A22" s="39" t="str">
        <x:v>Factory 3–6S commercial ESCs</x:v>
      </x:c>
      <x:c r="B22" s="39" t="str">
        <x:v>Fallback only</x:v>
      </x:c>
      <x:c r="C22" s="39" t="str">
        <x:v>Use if the custom sensorless FOC nodes cannot pass loaded launch, low-speed, protection or thermal qualification</x:v>
      </x:c>
      <x:c r="D22" s="39" t="str">
        <x:v>Open decision</x:v>
      </x:c>
      <x:c r="E22" s="39" t="str">
        <x:v>Requires architecture/interface revision</x:v>
      </x:c>
    </x:row>
    <x:row r="23" ht="26.399999618530273" hidden="0" customHeight="1">
      <x:c r="A23" s="39" t="str">
        <x:v>Receiver Micro-Fit mating housing/contacts</x:v>
      </x:c>
      <x:c r="B23" s="39" t="str">
        <x:v>Required harness</x:v>
      </x:c>
      <x:c r="C23" s="39" t="str">
        <x:v>430250600 C293525; 430300007 C293530</x:v>
      </x:c>
      <x:c r="D23" s="39" t="str">
        <x:v>LCSC listed</x:v>
      </x:c>
      <x:c r="E23" s="39" t="str">
        <x:v>One six-circuit housing plus contacts/spares; verify wire outside diameter</x:v>
      </x:c>
    </x:row>
    <x:row r="24" ht="15" hidden="0" customHeight="1">
      <x:c r="A24" s="39" t="str">
        <x:v>JST-VH servo housing/contacts</x:v>
      </x:c>
      <x:c r="B24" s="39" t="str">
        <x:v>Required harness</x:v>
      </x:c>
      <x:c r="C24" s="39" t="str">
        <x:v>VHR-3N C157899; SVH-21T-P1.1 C160349</x:v>
      </x:c>
      <x:c r="D24" s="39" t="str">
        <x:v>LCSC listed</x:v>
      </x:c>
      <x:c r="E24" s="39" t="str">
        <x:v>Confirm servo stall current and crimp gauge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bad1df940a247d3"/>
  </x:tableParts>
</x:worksheet>
</file>